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34\Downloads\"/>
    </mc:Choice>
  </mc:AlternateContent>
  <xr:revisionPtr revIDLastSave="0" documentId="13_ncr:1_{34999DBA-F528-459B-AE80-70BDA091832C}" xr6:coauthVersionLast="47" xr6:coauthVersionMax="47" xr10:uidLastSave="{00000000-0000-0000-0000-000000000000}"/>
  <bookViews>
    <workbookView xWindow="-120" yWindow="-120" windowWidth="29040" windowHeight="15840" activeTab="1" xr2:uid="{19EE711A-3283-4873-9107-9C9869A047C7}"/>
  </bookViews>
  <sheets>
    <sheet name="operations" sheetId="2" r:id="rId1"/>
    <sheet name="1" sheetId="4" r:id="rId2"/>
    <sheet name="diction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" l="1" a="1"/>
  <c r="B11" i="4" s="1"/>
  <c r="D3" i="4" s="1"/>
  <c r="H8" i="4"/>
  <c r="C9" i="4"/>
  <c r="K11" i="4"/>
  <c r="B17" i="4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" i="2"/>
  <c r="D5" i="4" l="1"/>
  <c r="D8" i="4"/>
  <c r="E8" i="4" s="1"/>
  <c r="D4" i="4"/>
  <c r="E4" i="4" s="1"/>
  <c r="D7" i="4"/>
  <c r="E7" i="4" s="1"/>
  <c r="E3" i="4"/>
  <c r="D6" i="4"/>
  <c r="E6" i="4" s="1"/>
  <c r="D2" i="4"/>
  <c r="E2" i="4" s="1"/>
  <c r="E5" i="4"/>
  <c r="E9" i="4" l="1"/>
  <c r="D9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<sst xmlns="http://schemas.openxmlformats.org/spreadsheetml/2006/main" count="707" uniqueCount="42">
  <si>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</si>
  <si>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</si>
  <si>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</si>
  <si>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</si>
  <si>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</si>
  <si>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</si>
  <si>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</si>
  <si>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</si>
  <si>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</si>
  <si>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</si>
  <si>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</si>
  <si>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</si>
  <si>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</si>
  <si>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</si>
  <si>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</si>
  <si>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</si>
  <si>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</si>
  <si>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</si>
  <si>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</si>
  <si>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</si>
  <si>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</si>
  <si>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</si>
  <si>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</si>
  <si>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</si>
  <si>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</si>
  <si>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</si>
  <si>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</si>
  <si>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</si>
  <si>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</si>
  <si>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</si>
  <si>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</si>
  <si>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</si>
  <si>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</si>
  <si>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</si>
  <si>
    <t>Total</t>
  </si>
  <si>
    <t>transportation</t>
  </si>
  <si>
    <t>Scholarships</t>
  </si>
  <si>
    <t>Other Incomes</t>
  </si>
  <si>
    <t>Millenium</t>
  </si>
  <si>
    <t>Closing balance</t>
  </si>
  <si>
    <t>Operations</t>
  </si>
  <si>
    <t>Opening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</si>
</sst>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zł&quot;;[Red]\-#,##0.00\ &quot;zł&quot;"/>
    <numFmt numFmtId="165" formatCode="mmmm"/>
    <numFmt numFmtId="166" formatCode="_-* #,##0.00\ [$zł-415]_-;\-* #,##0.00\ [$zł-415]_-;_-* &quot;-&quot;??\ [$zł-415]_-;_-@_-"/>
  </numFmts>
  <fonts count="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FA7D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rgb="FFFF8001"/>
      </bottom>
      <diagonal/>
    </border>
  </borders>
  <cellStyleXfs count="2">
    <xf numFmtId="0" fontId="0" fillId="0" borderId="0"/>
    <xf numFmtId="0" fontId="3" fillId="0" borderId="1" applyNumberFormat="0" applyFill="0" applyAlignment="0" applyProtection="0"/>
  </cellStyleXfs>
  <cellXfs count="9">
    <xf numFmtId="0" fontId="0" fillId="0" borderId="0" xfId="0"/>
    <xf numFmtId="0" fontId="2" fillId="0" borderId="0" xfId="0" applyFont="1"/>
    <xf numFmtId="164" fontId="2" fillId="0" borderId="0" xfId="0" applyNumberFormat="1" applyFont="1"/>
    <xf numFmtId="14" fontId="2" fillId="0" borderId="0" xfId="0" applyNumberFormat="1" applyFont="1"/>
    <xf numFmtId="165" fontId="2" fillId="0" borderId="0" xfId="0" applyNumberFormat="1" applyFont="1"/>
    <xf numFmtId="166" fontId="0" fillId="0" borderId="0" xfId="0" applyNumberFormat="1"/>
    <xf numFmtId="0" fontId="1" fillId="0" borderId="1" xfId="1" applyFont="1"/>
    <xf numFmtId="2" fontId="0" fillId="0" borderId="0" xfId="0" applyNumberFormat="1"/>
    <xf numFmtId="165" fontId="1" fillId="0" borderId="1" xfId="1" applyNumberFormat="1" applyFont="1"/>
  </cellXfs>
  <cellStyles count="2">
    <cellStyle name="Linked Cell" xfId="1" builtinId="24"/>
    <cellStyle name="Normal" xfId="0" builtinId="0"/>
  </cellStyles>
  <dxfs count="14"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B2292-5AEA-432F-8128-9E05D027336D}" name="operations" displayName="operations" ref="A1:G1048576" totalsRowShown="0" headerRowDxfId="13">
  <autoFilter ref="A1:G1048576" xr:uid="{06FB2292-5AEA-432F-8128-9E05D027336D}">
    <filterColumn colId="0">
      <customFilters>
        <customFilter operator="notEqual" val=" "/>
      </customFilters>
    </filterColumn>
  </autoFilter>
  <tableColumns count="7">
    <tableColumn id="1" xr3:uid="{4162AF2F-CC36-4CE8-A433-3C3565A96A78}" name="Amount"/>
    <tableColumn id="2" xr3:uid="{B319CFE2-A23B-4DF3-8070-1E04BEB2CB55}" name="Bank"/>
    <tableColumn id="3" xr3:uid="{42F21B05-1EA2-42E9-AD25-E18F92D7BBC2}" name="Product"/>
    <tableColumn id="4" xr3:uid="{A0B78DDA-1BEB-4036-9D32-35449A6B08C1}" name="Category"/>
    <tableColumn id="5" xr3:uid="{9EF6016E-E3B1-4E3E-991B-F5E00CFE901D}" name="Type"/>
    <tableColumn id="6" xr3:uid="{147FFA3B-4FD7-47DA-9D08-5FBF36B6DC4E}" name="Date"/>
    <tableColumn id="7" xr3:uid="{675EA7AB-7E1A-4E20-BE13-A7C70DB7DAD2}" name="Month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38EF6C-EBDA-4A20-A913-FFB56B6BFDE3}" name="Table6" displayName="Table6" ref="A1:E9" totalsRowCount="1">
  <autoFilter ref="A1:E8" xr:uid="{D08145FA-2B31-4447-A365-BD5CF6F8B50D}"/>
  <tableColumns count="5">
    <tableColumn id="1" xr3:uid="{1EA9A758-C67C-4510-84BB-0812CB482B57}" name="Bank" totalsRowLabel="Total"/>
    <tableColumn id="2" xr3:uid="{549368D9-B3F1-424B-B43C-29A96F88CA45}" name="Product"/>
    <tableColumn id="3" xr3:uid="{1BE67E26-0DC1-4714-BE9B-D0D467B8CBE5}" name="Opening balance" totalsRowFunction="custom" dataDxfId="11" totalsRowDxfId="2">
      <totalsRowFormula>SUBTOTAL(9,Table6[Opening balance])</totalsRowFormula>
    </tableColumn>
    <tableColumn id="4" xr3:uid="{1BF66AA6-D374-4036-86CE-96C01ED2AA19}" name="Operations" totalsRowFunction="custom" dataDxfId="3" totalsRowDxfId="1">
      <calculatedColumnFormula>SUMIFS(operations[Amount], operations[Bank], Table6[[#This Row],[Bank]], operations[Product], Table6[[#This Row],[Product]], operations[Month], $B$11)</calculatedColumnFormula>
      <totalsRowFormula>SUBTOTAL(9,Table6[Operations])</totalsRowFormula>
    </tableColumn>
    <tableColumn id="5" xr3:uid="{EDC59951-C328-4A3E-9138-3F195AE6EDB4}" name="Closing balance" totalsRowFunction="custom" dataDxfId="10" totalsRowDxfId="0">
      <calculatedColumnFormula>Table6[[#This Row],[Opening balance]]-Table6[[#This Row],[Operations]]</calculatedColumnFormula>
      <totalsRowFormula>SUBTOTAL(9,Table6[Closing balance])</totalsRow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7994E2-32A2-45A6-A3CB-C6C3A659CA0D}" name="Table7" displayName="Table7" ref="G1:H8" totalsRowCount="1">
  <autoFilter ref="G1:H7" xr:uid="{659F4518-6159-4369-AA91-CF0A05C7468B}"/>
  <tableColumns count="2">
    <tableColumn id="1" xr3:uid="{846EB052-EA58-4BB0-83E9-B99C78843362}" name="Category" totalsRowLabel="Total"/>
    <tableColumn id="2" xr3:uid="{E5FDE1B7-4EE4-49E5-BB58-9E3799D55433}" name="Total" totalsRowFunction="custom" dataDxfId="8" totalsRowDxfId="9">
      <totalsRowFormula>SUBTOTAL(9,Table7[Total])</totalsRow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A0B0A-D0ED-4BB2-BD06-423451A74183}" name="Table8" displayName="Table8" ref="J1:K11" totalsRowCount="1">
  <autoFilter ref="J1:K10" xr:uid="{0F882830-378E-4925-BD8B-BDADF3B60994}"/>
  <tableColumns count="2">
    <tableColumn id="1" xr3:uid="{DD7A1F8F-832C-4615-B52A-E4E3E17C1FE4}" name="Category" totalsRowLabel="Total"/>
    <tableColumn id="2" xr3:uid="{F0F76304-01C8-474D-BE78-031C4407FBA6}" name="Total" totalsRowFunction="custom" dataDxfId="6" totalsRowDxfId="7">
      <totalsRowFormula>SUBTOTAL(9,Table8[Total])</totalsRow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50923B-D78D-4576-8F24-63B19A4222B9}" name="Table9" displayName="Table9" ref="A13:B17" totalsRowCount="1">
  <autoFilter ref="A13:B16" xr:uid="{9100B6B5-494E-4F4E-A38A-343BCA6B4023}"/>
  <tableColumns count="2">
    <tableColumn id="1" xr3:uid="{43914533-C96D-4857-92E5-964D9C3BD621}" name="Type" totalsRowLabel="Total"/>
    <tableColumn id="2" xr3:uid="{A7D39D6C-A4D8-45EA-B0A4-02A5C390F394}" name="Total" totalsRowFunction="custom" dataDxfId="4" totalsRowDxfId="5">
      <totalsRowFormula>SUBTOTAL(9,Table9[Total])</totalsRowFormula>
    </tableColumn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46233-4CB7-41B2-A903-0B776C034E39}" name="Table1" displayName="Table1" ref="A1:B17" totalsRowShown="0">
  <autoFilter ref="A1:B17" xr:uid="{CC346233-4CB7-41B2-A903-0B776C034E39}"/>
  <tableColumns count="2">
    <tableColumn id="1" xr3:uid="{43698C38-7DBA-45F9-8C9C-F627B7DC1B02}" name="Category" dataDxfId="12"/>
    <tableColumn id="2" xr3:uid="{8D835F55-E4CF-4163-8C5C-F93430B9BFAA}" name="Typ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topLeftCell="A49" workbookViewId="0">
      <selection activeCell="C20" sqref="C20"/>
    </sheetView>
  </sheetViews>
  <sheetFormatPr defaultRowHeight="15" zeroHeight="1" x14ac:dyDescent="0.25"/>
  <cols>
    <col min="1" max="1" width="11.85546875" bestFit="1" customWidth="1"/>
    <col min="2" max="2" width="10.7109375" bestFit="1" customWidth="1"/>
    <col min="3" max="3" width="22.140625" customWidth="1"/>
    <col min="4" max="4" width="16" bestFit="1" customWidth="1"/>
    <col min="5" max="5" width="15.42578125" customWidth="1"/>
    <col min="6" max="6" width="11.28515625" bestFit="1" customWidth="1"/>
    <col min="7" max="7" width="13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Row],[Category]],Table1[Category], Table1[Type],"", 0, 1)</f>
        <v>Expense</v>
      </c>
      <c r="F2" s="3">
        <v>45296</v>
      </c>
      <c r="G2" s="4">
        <f>MONTH(operations[[#This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Row],[Category]],Table1[Category], Table1[Type],"", 0, 1)</f>
        <v>Income</v>
      </c>
      <c r="F3" s="3">
        <v>45297</v>
      </c>
      <c r="G3" s="4">
        <v>45297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Row],[Category]],Table1[Category], Table1[Type],"", 0, 1)</f>
        <v>Expense</v>
      </c>
      <c r="F4" s="3">
        <v>45298</v>
      </c>
      <c r="G4" s="4">
        <v>45298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Row],[Category]],Table1[Category], Table1[Type],"", 0, 1)</f>
        <v>Expense</v>
      </c>
      <c r="F5" s="3">
        <v>45299</v>
      </c>
      <c r="G5" s="4">
        <v>45299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Row],[Category]],Table1[Category], Table1[Type],"", 0, 1)</f>
        <v>Expense</v>
      </c>
      <c r="F6" s="3">
        <v>45300</v>
      </c>
      <c r="G6" s="4">
        <v>45300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Row],[Category]],Table1[Category], Table1[Type],"", 0, 1)</f>
        <v>Expense</v>
      </c>
      <c r="F7" s="3">
        <v>45301</v>
      </c>
      <c r="G7" s="4">
        <v>45301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_xlfn.XLOOKUP(operations[[#This Row],[Category]],Table1[Category], Table1[Type],"", 0, 1)</f>
        <v>Income</v>
      </c>
      <c r="F8" s="3">
        <v>45302</v>
      </c>
      <c r="G8" s="4">
        <v>45302</v>
      </c>
    </row>
    <row r="9" spans="1:7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_xlfn.XLOOKUP(operations[[#This Row],[Category]],Table1[Category], Table1[Type],"", 0, 1)</f>
        <v>Expense</v>
      </c>
      <c r="F9" s="3">
        <v>45303</v>
      </c>
      <c r="G9" s="4">
        <v>45303</v>
      </c>
    </row>
    <row r="10" spans="1:7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_xlfn.XLOOKUP(operations[[#This Row],[Category]],Table1[Category], Table1[Type],"", 0, 1)</f>
        <v>Income</v>
      </c>
      <c r="F10" s="3">
        <v>45304</v>
      </c>
      <c r="G10" s="4">
        <v>45304</v>
      </c>
    </row>
    <row r="11" spans="1:7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_xlfn.XLOOKUP(operations[[#This Row],[Category]],Table1[Category], Table1[Type],"", 0, 1)</f>
        <v>Expense</v>
      </c>
      <c r="F11" s="3">
        <v>45305</v>
      </c>
      <c r="G11" s="4">
        <v>45305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Row],[Category]],Table1[Category], Table1[Type],"", 0, 1)</f>
        <v>Expense</v>
      </c>
      <c r="F12" s="3">
        <v>45306</v>
      </c>
      <c r="G12" s="4">
        <v>45306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Row],[Category]],Table1[Category], Table1[Type],"", 0, 1)</f>
        <v>Income</v>
      </c>
      <c r="F13" s="3">
        <v>45307</v>
      </c>
      <c r="G13" s="4">
        <v>45307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Row],[Category]],Table1[Category], Table1[Type],"", 0, 1)</f>
        <v>Expense</v>
      </c>
      <c r="F14" s="3">
        <v>45308</v>
      </c>
      <c r="G14" s="4">
        <v>45308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Row],[Category]],Table1[Category], Table1[Type],"", 0, 1)</f>
        <v>Expense</v>
      </c>
      <c r="F15" s="3">
        <v>45309</v>
      </c>
      <c r="G15" s="4">
        <v>45309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Row],[Category]],Table1[Category], Table1[Type],"", 0, 1)</f>
        <v>Expense</v>
      </c>
      <c r="F16" s="3">
        <v>45310</v>
      </c>
      <c r="G16" s="4">
        <v>45310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Row],[Category]],Table1[Category], Table1[Type],"", 0, 1)</f>
        <v>Expense</v>
      </c>
      <c r="F17" s="3">
        <v>45311</v>
      </c>
      <c r="G17" s="4">
        <v>45311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Row],[Category]],Table1[Category], Table1[Type],"", 0, 1)</f>
        <v>Income</v>
      </c>
      <c r="F18" s="3">
        <v>45312</v>
      </c>
      <c r="G18" s="4">
        <v>45312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Row],[Category]],Table1[Category], Table1[Type],"", 0, 1)</f>
        <v>Income</v>
      </c>
      <c r="F19" s="3">
        <v>45313</v>
      </c>
      <c r="G19" s="4">
        <v>45313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Row],[Category]],Table1[Category], Table1[Type],"", 0, 1)</f>
        <v>Income</v>
      </c>
      <c r="F20" s="3">
        <v>45314</v>
      </c>
      <c r="G20" s="4">
        <v>45314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Row],[Category]],Table1[Category], Table1[Type],"", 0, 1)</f>
        <v>Expense</v>
      </c>
      <c r="F21" s="3">
        <v>45315</v>
      </c>
      <c r="G21" s="4">
        <v>45315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Row],[Category]],Table1[Category], Table1[Type],"", 0, 1)</f>
        <v>Income</v>
      </c>
      <c r="F22" s="3">
        <v>45316</v>
      </c>
      <c r="G22" s="4">
        <v>45316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Row],[Category]],Table1[Category], Table1[Type],"", 0, 1)</f>
        <v>Expense</v>
      </c>
      <c r="F23" s="3">
        <v>45317</v>
      </c>
      <c r="G23" s="4">
        <v>45317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Row],[Category]],Table1[Category], Table1[Type],"", 0, 1)</f>
        <v>Expense</v>
      </c>
      <c r="F24" s="3">
        <v>45318</v>
      </c>
      <c r="G24" s="4">
        <v>45318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Row],[Category]],Table1[Category], Table1[Type],"", 0, 1)</f>
        <v>Income</v>
      </c>
      <c r="F25" s="3">
        <v>45319</v>
      </c>
      <c r="G25" s="4">
        <v>45319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Row],[Category]],Table1[Category], Table1[Type],"", 0, 1)</f>
        <v>Expense</v>
      </c>
      <c r="F26" s="3">
        <v>45320</v>
      </c>
      <c r="G26" s="4">
        <v>45320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Row],[Category]],Table1[Category], Table1[Type],"", 0, 1)</f>
        <v>Expense</v>
      </c>
      <c r="F27" s="3">
        <v>45321</v>
      </c>
      <c r="G27" s="4">
        <v>45321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Row],[Category]],Table1[Category], Table1[Type],"", 0, 1)</f>
        <v>Income</v>
      </c>
      <c r="F28" s="3">
        <v>45322</v>
      </c>
      <c r="G28" s="4">
        <v>45322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Row],[Category]],Table1[Category], Table1[Type],"", 0, 1)</f>
        <v>Expense</v>
      </c>
      <c r="F29" s="3">
        <v>45323</v>
      </c>
      <c r="G29" s="4">
        <v>45323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Row],[Category]],Table1[Category], Table1[Type],"", 0, 1)</f>
        <v>Expense</v>
      </c>
      <c r="F30" s="3">
        <v>45324</v>
      </c>
      <c r="G30" s="4">
        <v>45324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Row],[Category]],Table1[Category], Table1[Type],"", 0, 1)</f>
        <v>Expense</v>
      </c>
      <c r="F31" s="3">
        <v>45325</v>
      </c>
      <c r="G31" s="4">
        <v>45325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Row],[Category]],Table1[Category], Table1[Type],"", 0, 1)</f>
        <v>Transfer</v>
      </c>
      <c r="F32" s="3">
        <v>45326</v>
      </c>
      <c r="G32" s="4">
        <v>45326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Row],[Category]],Table1[Category], Table1[Type],"", 0, 1)</f>
        <v>Transfer</v>
      </c>
      <c r="F33" s="3">
        <v>45327</v>
      </c>
      <c r="G33" s="4">
        <v>45327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Row],[Category]],Table1[Category], Table1[Type],"", 0, 1)</f>
        <v>Expense</v>
      </c>
      <c r="F34" s="3">
        <v>45328</v>
      </c>
      <c r="G34" s="4">
        <v>45328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Row],[Category]],Table1[Category], Table1[Type],"", 0, 1)</f>
        <v>Expense</v>
      </c>
      <c r="F35" s="3">
        <v>45329</v>
      </c>
      <c r="G35" s="4">
        <v>45329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Row],[Category]],Table1[Category], Table1[Type],"", 0, 1)</f>
        <v>Income</v>
      </c>
      <c r="F36" s="3">
        <v>45330</v>
      </c>
      <c r="G36" s="4">
        <v>45330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Row],[Category]],Table1[Category], Table1[Type],"", 0, 1)</f>
        <v>Income</v>
      </c>
      <c r="F37" s="3">
        <v>45331</v>
      </c>
      <c r="G37" s="4">
        <v>45331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Row],[Category]],Table1[Category], Table1[Type],"", 0, 1)</f>
        <v>Expense</v>
      </c>
      <c r="F38" s="3">
        <v>45332</v>
      </c>
      <c r="G38" s="4">
        <v>45332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Row],[Category]],Table1[Category], Table1[Type],"", 0, 1)</f>
        <v>Income</v>
      </c>
      <c r="F39" s="3">
        <v>45333</v>
      </c>
      <c r="G39" s="4">
        <v>45333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Row],[Category]],Table1[Category], Table1[Type],"", 0, 1)</f>
        <v>Expense</v>
      </c>
      <c r="F40" s="3">
        <v>45334</v>
      </c>
      <c r="G40" s="4">
        <v>45334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Row],[Category]],Table1[Category], Table1[Type],"", 0, 1)</f>
        <v>Expense</v>
      </c>
      <c r="F41" s="3">
        <v>45335</v>
      </c>
      <c r="G41" s="4">
        <v>45335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Row],[Category]],Table1[Category], Table1[Type],"", 0, 1)</f>
        <v>Expense</v>
      </c>
      <c r="F42" s="3">
        <v>45336</v>
      </c>
      <c r="G42" s="4">
        <v>45336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Row],[Category]],Table1[Category], Table1[Type],"", 0, 1)</f>
        <v>Income</v>
      </c>
      <c r="F43" s="3">
        <v>45337</v>
      </c>
      <c r="G43" s="4">
        <v>45337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Row],[Category]],Table1[Category], Table1[Type],"", 0, 1)</f>
        <v>Expense</v>
      </c>
      <c r="F44" s="3">
        <v>45338</v>
      </c>
      <c r="G44" s="4">
        <v>45338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Row],[Category]],Table1[Category], Table1[Type],"", 0, 1)</f>
        <v>Income</v>
      </c>
      <c r="F45" s="3">
        <v>45339</v>
      </c>
      <c r="G45" s="4">
        <v>45339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Row],[Category]],Table1[Category], Table1[Type],"", 0, 1)</f>
        <v>Expense</v>
      </c>
      <c r="F46" s="3">
        <v>45340</v>
      </c>
      <c r="G46" s="4">
        <v>45340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Row],[Category]],Table1[Category], Table1[Type],"", 0, 1)</f>
        <v>Expense</v>
      </c>
      <c r="F47" s="3">
        <v>45341</v>
      </c>
      <c r="G47" s="4">
        <v>45341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Row],[Category]],Table1[Category], Table1[Type],"", 0, 1)</f>
        <v>Expense</v>
      </c>
      <c r="F48" s="3">
        <v>45342</v>
      </c>
      <c r="G48" s="4">
        <v>45342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Row],[Category]],Table1[Category], Table1[Type],"", 0, 1)</f>
        <v>Expense</v>
      </c>
      <c r="F49" s="3">
        <v>45343</v>
      </c>
      <c r="G49" s="4">
        <v>45343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Row],[Category]],Table1[Category], Table1[Type],"", 0, 1)</f>
        <v>Income</v>
      </c>
      <c r="F50" s="3">
        <v>45344</v>
      </c>
      <c r="G50" s="4">
        <v>45344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Row],[Category]],Table1[Category], Table1[Type],"", 0, 1)</f>
        <v>Expense</v>
      </c>
      <c r="F51" s="3">
        <v>45345</v>
      </c>
      <c r="G51" s="4">
        <v>45345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Row],[Category]],Table1[Category], Table1[Type],"", 0, 1)</f>
        <v>Income</v>
      </c>
      <c r="F52" s="3">
        <v>45346</v>
      </c>
      <c r="G52" s="4">
        <v>45346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Row],[Category]],Table1[Category], Table1[Type],"", 0, 1)</f>
        <v>Expense</v>
      </c>
      <c r="F53" s="3">
        <v>45347</v>
      </c>
      <c r="G53" s="4">
        <v>45347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Row],[Category]],Table1[Category], Table1[Type],"", 0, 1)</f>
        <v>Expense</v>
      </c>
      <c r="F54" s="3">
        <v>45348</v>
      </c>
      <c r="G54" s="4">
        <v>45348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Row],[Category]],Table1[Category], Table1[Type],"", 0, 1)</f>
        <v>Expense</v>
      </c>
      <c r="F55" s="3">
        <v>45349</v>
      </c>
      <c r="G55" s="4">
        <v>45349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Row],[Category]],Table1[Category], Table1[Type],"", 0, 1)</f>
        <v>Expense</v>
      </c>
      <c r="F56" s="3">
        <v>45350</v>
      </c>
      <c r="G56" s="4">
        <v>45350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Row],[Category]],Table1[Category], Table1[Type],"", 0, 1)</f>
        <v>Expense</v>
      </c>
      <c r="F57" s="3">
        <v>45351</v>
      </c>
      <c r="G57" s="4">
        <v>45351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Row],[Category]],Table1[Category], Table1[Type],"", 0, 1)</f>
        <v>Expense</v>
      </c>
      <c r="F58" s="3">
        <v>45352</v>
      </c>
      <c r="G58" s="4">
        <v>45352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Row],[Category]],Table1[Category], Table1[Type],"", 0, 1)</f>
        <v>Expense</v>
      </c>
      <c r="F59" s="3">
        <v>45353</v>
      </c>
      <c r="G59" s="4">
        <v>45353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Row],[Category]],Table1[Category], Table1[Type],"", 0, 1)</f>
        <v>Income</v>
      </c>
      <c r="F60" s="3">
        <v>45354</v>
      </c>
      <c r="G60" s="4">
        <v>45354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Row],[Category]],Table1[Category], Table1[Type],"", 0, 1)</f>
        <v>Expense</v>
      </c>
      <c r="F61" s="3">
        <v>45355</v>
      </c>
      <c r="G61" s="4">
        <v>45355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Row],[Category]],Table1[Category], Table1[Type],"", 0, 1)</f>
        <v>Expense</v>
      </c>
      <c r="F62" s="3">
        <v>45356</v>
      </c>
      <c r="G62" s="4">
        <v>45356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Row],[Category]],Table1[Category], Table1[Type],"", 0, 1)</f>
        <v>Expense</v>
      </c>
      <c r="F63" s="3">
        <v>45357</v>
      </c>
      <c r="G63" s="4">
        <v>45357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Row],[Category]],Table1[Category], Table1[Type],"", 0, 1)</f>
        <v>Expense</v>
      </c>
      <c r="F64" s="3">
        <v>45358</v>
      </c>
      <c r="G64" s="4">
        <v>45358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Row],[Category]],Table1[Category], Table1[Type],"", 0, 1)</f>
        <v>Income</v>
      </c>
      <c r="F65" s="3">
        <v>45359</v>
      </c>
      <c r="G65" s="4">
        <v>45359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Row],[Category]],Table1[Category], Table1[Type],"", 0, 1)</f>
        <v>Expense</v>
      </c>
      <c r="F66" s="3">
        <v>45360</v>
      </c>
      <c r="G66" s="4">
        <v>45360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Row],[Category]],Table1[Category], Table1[Type],"", 0, 1)</f>
        <v>Income</v>
      </c>
      <c r="F67" s="3">
        <v>45361</v>
      </c>
      <c r="G67" s="4">
        <v>45361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Row],[Category]],Table1[Category], Table1[Type],"", 0, 1)</f>
        <v>Expense</v>
      </c>
      <c r="F68" s="3">
        <v>45362</v>
      </c>
      <c r="G68" s="4">
        <v>45362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Row],[Category]],Table1[Category], Table1[Type],"", 0, 1)</f>
        <v>Expense</v>
      </c>
      <c r="F69" s="3">
        <v>45363</v>
      </c>
      <c r="G69" s="4">
        <v>45363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Row],[Category]],Table1[Category], Table1[Type],"", 0, 1)</f>
        <v>Transfer</v>
      </c>
      <c r="F70" s="3">
        <v>45364</v>
      </c>
      <c r="G70" s="4">
        <v>45364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Row],[Category]],Table1[Category], Table1[Type],"", 0, 1)</f>
        <v>Transfer</v>
      </c>
      <c r="F71" s="3">
        <v>45365</v>
      </c>
      <c r="G71" s="4">
        <v>45365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Row],[Category]],Table1[Category], Table1[Type],"", 0, 1)</f>
        <v>Expense</v>
      </c>
      <c r="F72" s="3">
        <v>45366</v>
      </c>
      <c r="G72" s="4">
        <v>45366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Row],[Category]],Table1[Category], Table1[Type],"", 0, 1)</f>
        <v>Expense</v>
      </c>
      <c r="F73" s="3">
        <v>45367</v>
      </c>
      <c r="G73" s="4">
        <v>45367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Row],[Category]],Table1[Category], Table1[Type],"", 0, 1)</f>
        <v>Expense</v>
      </c>
      <c r="F74" s="3">
        <v>45368</v>
      </c>
      <c r="G74" s="4">
        <v>45368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Row],[Category]],Table1[Category], Table1[Type],"", 0, 1)</f>
        <v>Expense</v>
      </c>
      <c r="F75" s="3">
        <v>45369</v>
      </c>
      <c r="G75" s="4">
        <v>45369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Row],[Category]],Table1[Category], Table1[Type],"", 0, 1)</f>
        <v>Expense</v>
      </c>
      <c r="F76" s="3">
        <v>45370</v>
      </c>
      <c r="G76" s="4">
        <v>45370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Row],[Category]],Table1[Category], Table1[Type],"", 0, 1)</f>
        <v>Expense</v>
      </c>
      <c r="F77" s="3">
        <v>45371</v>
      </c>
      <c r="G77" s="4">
        <v>45371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Row],[Category]],Table1[Category], Table1[Type],"", 0, 1)</f>
        <v>Income</v>
      </c>
      <c r="F78" s="3">
        <v>45372</v>
      </c>
      <c r="G78" s="4">
        <v>45372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Row],[Category]],Table1[Category], Table1[Type],"", 0, 1)</f>
        <v>Expense</v>
      </c>
      <c r="F79" s="3">
        <v>45373</v>
      </c>
      <c r="G79" s="4">
        <v>45373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Row],[Category]],Table1[Category], Table1[Type],"", 0, 1)</f>
        <v>Expense</v>
      </c>
      <c r="F80" s="3">
        <v>45374</v>
      </c>
      <c r="G80" s="4">
        <v>45374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Row],[Category]],Table1[Category], Table1[Type],"", 0, 1)</f>
        <v>Expense</v>
      </c>
      <c r="F81" s="3">
        <v>45375</v>
      </c>
      <c r="G81" s="4">
        <v>45375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Row],[Category]],Table1[Category], Table1[Type],"", 0, 1)</f>
        <v>Expense</v>
      </c>
      <c r="F82" s="3">
        <v>45376</v>
      </c>
      <c r="G82" s="4">
        <v>45376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Row],[Category]],Table1[Category], Table1[Type],"", 0, 1)</f>
        <v>Expense</v>
      </c>
      <c r="F83" s="3">
        <v>45377</v>
      </c>
      <c r="G83" s="4">
        <v>45377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Row],[Category]],Table1[Category], Table1[Type],"", 0, 1)</f>
        <v>Income</v>
      </c>
      <c r="F84" s="3">
        <v>45378</v>
      </c>
      <c r="G84" s="4">
        <v>45378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Row],[Category]],Table1[Category], Table1[Type],"", 0, 1)</f>
        <v>Expense</v>
      </c>
      <c r="F85" s="3">
        <v>45379</v>
      </c>
      <c r="G85" s="4">
        <v>45379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Row],[Category]],Table1[Category], Table1[Type],"", 0, 1)</f>
        <v>Expense</v>
      </c>
      <c r="F86" s="3">
        <v>45380</v>
      </c>
      <c r="G86" s="4">
        <v>45380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Row],[Category]],Table1[Category], Table1[Type],"", 0, 1)</f>
        <v>Transfer</v>
      </c>
      <c r="F87" s="3">
        <v>45381</v>
      </c>
      <c r="G87" s="4">
        <v>45381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Row],[Category]],Table1[Category], Table1[Type],"", 0, 1)</f>
        <v>Transfer</v>
      </c>
      <c r="F88" s="3">
        <v>45382</v>
      </c>
      <c r="G88" s="4">
        <v>45382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Row],[Category]],Table1[Category], Table1[Type],"", 0, 1)</f>
        <v>Expense</v>
      </c>
      <c r="F89" s="3">
        <v>45383</v>
      </c>
      <c r="G89" s="4">
        <v>45383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Row],[Category]],Table1[Category], Table1[Type],"", 0, 1)</f>
        <v>Expense</v>
      </c>
      <c r="F90" s="3">
        <v>45384</v>
      </c>
      <c r="G90" s="4">
        <v>45384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Row],[Category]],Table1[Category], Table1[Type],"", 0, 1)</f>
        <v>Expense</v>
      </c>
      <c r="F91" s="3">
        <v>45385</v>
      </c>
      <c r="G91" s="4">
        <v>45385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Row],[Category]],Table1[Category], Table1[Type],"", 0, 1)</f>
        <v>Expense</v>
      </c>
      <c r="F92" s="3">
        <v>45386</v>
      </c>
      <c r="G92" s="4">
        <v>45386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Row],[Category]],Table1[Category], Table1[Type],"", 0, 1)</f>
        <v>Expense</v>
      </c>
      <c r="F93" s="3">
        <v>45387</v>
      </c>
      <c r="G93" s="4">
        <v>45387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Row],[Category]],Table1[Category], Table1[Type],"", 0, 1)</f>
        <v>Expense</v>
      </c>
      <c r="F94" s="3">
        <v>45388</v>
      </c>
      <c r="G94" s="4">
        <v>45388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Row],[Category]],Table1[Category], Table1[Type],"", 0, 1)</f>
        <v>Income</v>
      </c>
      <c r="F95" s="3">
        <v>45389</v>
      </c>
      <c r="G95" s="4">
        <v>45389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Row],[Category]],Table1[Category], Table1[Type],"", 0, 1)</f>
        <v>Expense</v>
      </c>
      <c r="F96" s="3">
        <v>45390</v>
      </c>
      <c r="G96" s="4">
        <v>45390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Row],[Category]],Table1[Category], Table1[Type],"", 0, 1)</f>
        <v>Expense</v>
      </c>
      <c r="F97" s="3">
        <v>45391</v>
      </c>
      <c r="G97" s="4">
        <v>45391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Row],[Category]],Table1[Category], Table1[Type],"", 0, 1)</f>
        <v>Transfer</v>
      </c>
      <c r="F98" s="3">
        <v>45392</v>
      </c>
      <c r="G98" s="4">
        <v>45392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Row],[Category]],Table1[Category], Table1[Type],"", 0, 1)</f>
        <v>Transfer</v>
      </c>
      <c r="F99" s="3">
        <v>45393</v>
      </c>
      <c r="G99" s="4">
        <v>45393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Row],[Category]],Table1[Category], Table1[Type],"", 0, 1)</f>
        <v>Expense</v>
      </c>
      <c r="F100" s="3">
        <v>45394</v>
      </c>
      <c r="G100" s="4">
        <v>45394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Row],[Category]],Table1[Category], Table1[Type],"", 0, 1)</f>
        <v>Expense</v>
      </c>
      <c r="F101" s="3">
        <v>45395</v>
      </c>
      <c r="G101" s="4">
        <v>45395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Row],[Category]],Table1[Category], Table1[Type],"", 0, 1)</f>
        <v>Expense</v>
      </c>
      <c r="F102" s="3">
        <v>45396</v>
      </c>
      <c r="G102" s="4">
        <v>45396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Row],[Category]],Table1[Category], Table1[Type],"", 0, 1)</f>
        <v>Expense</v>
      </c>
      <c r="F103" s="3">
        <v>45397</v>
      </c>
      <c r="G103" s="4">
        <v>45397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Row],[Category]],Table1[Category], Table1[Type],"", 0, 1)</f>
        <v>Expense</v>
      </c>
      <c r="F104" s="3">
        <v>45398</v>
      </c>
      <c r="G104" s="4">
        <v>45398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Row],[Category]],Table1[Category], Table1[Type],"", 0, 1)</f>
        <v>Income</v>
      </c>
      <c r="F105" s="3">
        <v>45399</v>
      </c>
      <c r="G105" s="4">
        <v>45399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Row],[Category]],Table1[Category], Table1[Type],"", 0, 1)</f>
        <v>Expense</v>
      </c>
      <c r="F106" s="3">
        <v>45400</v>
      </c>
      <c r="G106" s="4">
        <v>45400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Row],[Category]],Table1[Category], Table1[Type],"", 0, 1)</f>
        <v>Expense</v>
      </c>
      <c r="F107" s="3">
        <v>45401</v>
      </c>
      <c r="G107" s="4">
        <v>45401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Row],[Category]],Table1[Category], Table1[Type],"", 0, 1)</f>
        <v>Expense</v>
      </c>
      <c r="F108" s="3">
        <v>45402</v>
      </c>
      <c r="G108" s="4">
        <v>45402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Row],[Category]],Table1[Category], Table1[Type],"", 0, 1)</f>
        <v>Income</v>
      </c>
      <c r="F109" s="3">
        <v>45403</v>
      </c>
      <c r="G109" s="4">
        <v>45403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Row],[Category]],Table1[Category], Table1[Type],"", 0, 1)</f>
        <v>Expense</v>
      </c>
      <c r="F110" s="3">
        <v>45404</v>
      </c>
      <c r="G110" s="4">
        <v>45404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Row],[Category]],Table1[Category], Table1[Type],"", 0, 1)</f>
        <v>Expense</v>
      </c>
      <c r="F111" s="3">
        <v>45405</v>
      </c>
      <c r="G111" s="4">
        <v>45405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Row],[Category]],Table1[Category], Table1[Type],"", 0, 1)</f>
        <v>Transfer</v>
      </c>
      <c r="F112" s="3">
        <v>45406</v>
      </c>
      <c r="G112" s="4">
        <v>45406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Row],[Category]],Table1[Category], Table1[Type],"", 0, 1)</f>
        <v>Transfer</v>
      </c>
      <c r="F113" s="3">
        <v>45407</v>
      </c>
      <c r="G113" s="4">
        <v>45407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Row],[Category]],Table1[Category], Table1[Type],"", 0, 1)</f>
        <v>Expense</v>
      </c>
      <c r="F114" s="3">
        <v>45408</v>
      </c>
      <c r="G114" s="4">
        <v>45408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Row],[Category]],Table1[Category], Table1[Type],"", 0, 1)</f>
        <v>Income</v>
      </c>
      <c r="F115" s="3">
        <v>45409</v>
      </c>
      <c r="G115" s="4">
        <v>45409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Row],[Category]],Table1[Category], Table1[Type],"", 0, 1)</f>
        <v>Expense</v>
      </c>
      <c r="F116" s="3">
        <v>45410</v>
      </c>
      <c r="G116" s="4">
        <v>45410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Row],[Category]],Table1[Category], Table1[Type],"", 0, 1)</f>
        <v>Income</v>
      </c>
      <c r="F117" s="3">
        <v>45411</v>
      </c>
      <c r="G117" s="4">
        <v>45411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Row],[Category]],Table1[Category], Table1[Type],"", 0, 1)</f>
        <v>Expense</v>
      </c>
      <c r="F118" s="3">
        <v>45412</v>
      </c>
      <c r="G118" s="4">
        <v>45412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Row],[Category]],Table1[Category], Table1[Type],"", 0, 1)</f>
        <v>Expense</v>
      </c>
      <c r="F119" s="3">
        <v>45413</v>
      </c>
      <c r="G119" s="4">
        <v>45413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Row],[Category]],Table1[Category], Table1[Type],"", 0, 1)</f>
        <v>Expense</v>
      </c>
      <c r="F120" s="3">
        <v>45414</v>
      </c>
      <c r="G120" s="4">
        <v>45414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Row],[Category]],Table1[Category], Table1[Type],"", 0, 1)</f>
        <v>Income</v>
      </c>
      <c r="F121" s="3">
        <v>45415</v>
      </c>
      <c r="G121" s="4">
        <v>45415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Row],[Category]],Table1[Category], Table1[Type],"", 0, 1)</f>
        <v>Expense</v>
      </c>
      <c r="F122" s="3">
        <v>45416</v>
      </c>
      <c r="G122" s="4">
        <v>45416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Row],[Category]],Table1[Category], Table1[Type],"", 0, 1)</f>
        <v>Expense</v>
      </c>
      <c r="F123" s="3">
        <v>45417</v>
      </c>
      <c r="G123" s="4">
        <v>45417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Row],[Category]],Table1[Category], Table1[Type],"", 0, 1)</f>
        <v>Transfer</v>
      </c>
      <c r="F124" s="3">
        <v>45418</v>
      </c>
      <c r="G124" s="4">
        <v>45418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Row],[Category]],Table1[Category], Table1[Type],"", 0, 1)</f>
        <v>Expense</v>
      </c>
      <c r="F125" s="3">
        <v>45419</v>
      </c>
      <c r="G125" s="4">
        <v>45419</v>
      </c>
    </row>
    <row r="126" spans="1:7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_xlfn.XLOOKUP(operations[[#This Row],[Category]],Table1[Category], Table1[Type],"", 0, 1)</f>
        <v>Expense</v>
      </c>
      <c r="F126" s="3">
        <v>45420</v>
      </c>
      <c r="G126" s="4">
        <v>45420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_xlfn.XLOOKUP(operations[[#This Row],[Category]],Table1[Category], Table1[Type],"", 0, 1)</f>
        <v>Income</v>
      </c>
      <c r="F127" s="3">
        <v>45421</v>
      </c>
      <c r="G127" s="4">
        <v>45421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_xlfn.XLOOKUP(operations[[#This Row],[Category]],Table1[Category], Table1[Type],"", 0, 1)</f>
        <v>Expense</v>
      </c>
      <c r="F128" s="3">
        <v>45422</v>
      </c>
      <c r="G128" s="4">
        <v>45422</v>
      </c>
    </row>
    <row r="129" spans="1:7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_xlfn.XLOOKUP(operations[[#This Row],[Category]],Table1[Category], Table1[Type],"", 0, 1)</f>
        <v>Expense</v>
      </c>
      <c r="F129" s="3">
        <v>45423</v>
      </c>
      <c r="G129" s="4">
        <v>45423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_xlfn.XLOOKUP(operations[[#This Row],[Category]],Table1[Category], Table1[Type],"", 0, 1)</f>
        <v>Transfer</v>
      </c>
      <c r="F130" s="3">
        <v>45424</v>
      </c>
      <c r="G130" s="4">
        <v>45424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_xlfn.XLOOKUP(operations[[#This Row],[Category]],Table1[Category], Table1[Type],"", 0, 1)</f>
        <v>Transfer</v>
      </c>
      <c r="F131" s="3">
        <v>45425</v>
      </c>
      <c r="G131" s="4">
        <v>45425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_xlfn.XLOOKUP(operations[[#This Row],[Category]],Table1[Category], Table1[Type],"", 0, 1)</f>
        <v>Expense</v>
      </c>
      <c r="F132" s="3">
        <v>45426</v>
      </c>
      <c r="G132" s="4">
        <v>45426</v>
      </c>
    </row>
    <row r="133" spans="1:7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_xlfn.XLOOKUP(operations[[#This Row],[Category]],Table1[Category], Table1[Type],"", 0, 1)</f>
        <v>Expense</v>
      </c>
      <c r="F133" s="3">
        <v>45427</v>
      </c>
      <c r="G133" s="4">
        <v>45427</v>
      </c>
    </row>
    <row r="134" spans="1:7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_xlfn.XLOOKUP(operations[[#This Row],[Category]],Table1[Category], Table1[Type],"", 0, 1)</f>
        <v>Income</v>
      </c>
      <c r="F134" s="3">
        <v>45428</v>
      </c>
      <c r="G134" s="4">
        <v>45428</v>
      </c>
    </row>
    <row r="135" spans="1:7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_xlfn.XLOOKUP(operations[[#This Row],[Category]],Table1[Category], Table1[Type],"", 0, 1)</f>
        <v>Expense</v>
      </c>
      <c r="F135" s="3">
        <v>45429</v>
      </c>
      <c r="G135" s="4">
        <v>45429</v>
      </c>
    </row>
    <row r="136" spans="1:7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_xlfn.XLOOKUP(operations[[#This Row],[Category]],Table1[Category], Table1[Type],"", 0, 1)</f>
        <v>Expense</v>
      </c>
      <c r="F136" s="3">
        <v>45430</v>
      </c>
      <c r="G136" s="4">
        <v>45430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_xlfn.XLOOKUP(operations[[#This Row],[Category]],Table1[Category], Table1[Type],"", 0, 1)</f>
        <v>Expense</v>
      </c>
      <c r="F137" s="3">
        <v>45431</v>
      </c>
      <c r="G137" s="4">
        <v>45431</v>
      </c>
    </row>
    <row r="138" spans="1:7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_xlfn.XLOOKUP(operations[[#This Row],[Category]],Table1[Category], Table1[Type],"", 0, 1)</f>
        <v>Expense</v>
      </c>
      <c r="F138" s="3">
        <v>45432</v>
      </c>
      <c r="G138" s="4">
        <v>45432</v>
      </c>
    </row>
    <row r="139" spans="1:7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_xlfn.XLOOKUP(operations[[#This Row],[Category]],Table1[Category], Table1[Type],"", 0, 1)</f>
        <v>Income</v>
      </c>
      <c r="F139" s="3">
        <v>45433</v>
      </c>
      <c r="G139" s="4">
        <v>45433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_xlfn.XLOOKUP(operations[[#This Row],[Category]],Table1[Category], Table1[Type],"", 0, 1)</f>
        <v>Income</v>
      </c>
      <c r="F140" s="3">
        <v>45434</v>
      </c>
      <c r="G140" s="4">
        <v>45434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_xlfn.XLOOKUP(operations[[#This Row],[Category]],Table1[Category], Table1[Type],"", 0, 1)</f>
        <v>Expense</v>
      </c>
      <c r="F141" s="3">
        <v>45435</v>
      </c>
      <c r="G141" s="4">
        <v>45435</v>
      </c>
    </row>
    <row r="142" spans="1:7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_xlfn.XLOOKUP(operations[[#This Row],[Category]],Table1[Category], Table1[Type],"", 0, 1)</f>
        <v>Expense</v>
      </c>
      <c r="F142" s="3">
        <v>45436</v>
      </c>
      <c r="G142" s="4">
        <v>45436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_xlfn.XLOOKUP(operations[[#This Row],[Category]],Table1[Category], Table1[Type],"", 0, 1)</f>
        <v>Expense</v>
      </c>
      <c r="F143" s="3">
        <v>45437</v>
      </c>
      <c r="G143" s="4">
        <v>45437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_xlfn.XLOOKUP(operations[[#This Row],[Category]],Table1[Category], Table1[Type],"", 0, 1)</f>
        <v>Expense</v>
      </c>
      <c r="F144" s="3">
        <v>45438</v>
      </c>
      <c r="G144" s="4">
        <v>45438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_xlfn.XLOOKUP(operations[[#This Row],[Category]],Table1[Category], Table1[Type],"", 0, 1)</f>
        <v>Income</v>
      </c>
      <c r="F145" s="3">
        <v>45439</v>
      </c>
      <c r="G145" s="4">
        <v>45439</v>
      </c>
    </row>
    <row r="146" spans="1:7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_xlfn.XLOOKUP(operations[[#This Row],[Category]],Table1[Category], Table1[Type],"", 0, 1)</f>
        <v>Expense</v>
      </c>
      <c r="F146" s="3">
        <v>45440</v>
      </c>
      <c r="G146" s="4">
        <v>45440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_xlfn.XLOOKUP(operations[[#This Row],[Category]],Table1[Category], Table1[Type],"", 0, 1)</f>
        <v>Expense</v>
      </c>
      <c r="F147" s="3">
        <v>45441</v>
      </c>
      <c r="G147" s="4">
        <v>45441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_xlfn.XLOOKUP(operations[[#This Row],[Category]],Table1[Category], Table1[Type],"", 0, 1)</f>
        <v>Transfer</v>
      </c>
      <c r="F148" s="3">
        <v>45442</v>
      </c>
      <c r="G148" s="4">
        <v>45442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_xlfn.XLOOKUP(operations[[#This Row],[Category]],Table1[Category], Table1[Type],"", 0, 1)</f>
        <v>Transfer</v>
      </c>
      <c r="F149" s="3">
        <v>45443</v>
      </c>
      <c r="G149" s="4">
        <v>45443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_xlfn.XLOOKUP(operations[[#This Row],[Category]],Table1[Category], Table1[Type],"", 0, 1)</f>
        <v>Expense</v>
      </c>
      <c r="F150" s="3">
        <v>45444</v>
      </c>
      <c r="G150" s="4">
        <v>45444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_xlfn.XLOOKUP(operations[[#This Row],[Category]],Table1[Category], Table1[Type],"", 0, 1)</f>
        <v>Expense</v>
      </c>
      <c r="F151" s="3">
        <v>45445</v>
      </c>
      <c r="G151" s="4">
        <v>45445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_xlfn.XLOOKUP(operations[[#This Row],[Category]],Table1[Category], Table1[Type],"", 0, 1)</f>
        <v>Expense</v>
      </c>
      <c r="F152" s="3">
        <v>45446</v>
      </c>
      <c r="G152" s="4">
        <v>45446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_xlfn.XLOOKUP(operations[[#This Row],[Category]],Table1[Category], Table1[Type],"", 0, 1)</f>
        <v>Expense</v>
      </c>
      <c r="F153" s="3">
        <v>45447</v>
      </c>
      <c r="G153" s="4">
        <v>45447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_xlfn.XLOOKUP(operations[[#This Row],[Category]],Table1[Category], Table1[Type],"", 0, 1)</f>
        <v>Income</v>
      </c>
      <c r="F154" s="3">
        <v>45448</v>
      </c>
      <c r="G154" s="4">
        <v>45448</v>
      </c>
    </row>
    <row r="155" spans="1:7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_xlfn.XLOOKUP(operations[[#This Row],[Category]],Table1[Category], Table1[Type],"", 0, 1)</f>
        <v>Expense</v>
      </c>
      <c r="F155" s="3">
        <v>45449</v>
      </c>
      <c r="G155" s="4">
        <v>45449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_xlfn.XLOOKUP(operations[[#This Row],[Category]],Table1[Category], Table1[Type],"", 0, 1)</f>
        <v>Expense</v>
      </c>
      <c r="F156" s="3">
        <v>45450</v>
      </c>
      <c r="G156" s="4">
        <v>45450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_xlfn.XLOOKUP(operations[[#This Row],[Category]],Table1[Category], Table1[Type],"", 0, 1)</f>
        <v>Transfer</v>
      </c>
      <c r="F157" s="3">
        <v>45451</v>
      </c>
      <c r="G157" s="4">
        <v>45451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_xlfn.XLOOKUP(operations[[#This Row],[Category]],Table1[Category], Table1[Type],"", 0, 1)</f>
        <v>Transfer</v>
      </c>
      <c r="F158" s="3">
        <v>45452</v>
      </c>
      <c r="G158" s="4">
        <v>45452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_xlfn.XLOOKUP(operations[[#This Row],[Category]],Table1[Category], Table1[Type],"", 0, 1)</f>
        <v>Income</v>
      </c>
      <c r="F159" s="3">
        <v>45453</v>
      </c>
      <c r="G159" s="4">
        <v>45453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_xlfn.XLOOKUP(operations[[#This Row],[Category]],Table1[Category], Table1[Type],"", 0, 1)</f>
        <v>Expense</v>
      </c>
      <c r="F160" s="3">
        <v>45454</v>
      </c>
      <c r="G160" s="4">
        <v>45454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_xlfn.XLOOKUP(operations[[#This Row],[Category]],Table1[Category], Table1[Type],"", 0, 1)</f>
        <v>Expense</v>
      </c>
      <c r="F161" s="3">
        <v>45455</v>
      </c>
      <c r="G161" s="4">
        <v>45455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_xlfn.XLOOKUP(operations[[#This Row],[Category]],Table1[Category], Table1[Type],"", 0, 1)</f>
        <v>Expense</v>
      </c>
      <c r="F162" s="3">
        <v>45456</v>
      </c>
      <c r="G162" s="4">
        <v>45456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_xlfn.XLOOKUP(operations[[#This Row],[Category]],Table1[Category], Table1[Type],"", 0, 1)</f>
        <v>Expense</v>
      </c>
      <c r="F163" s="3">
        <v>45457</v>
      </c>
      <c r="G163" s="4">
        <v>45457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_xlfn.XLOOKUP(operations[[#This Row],[Category]],Table1[Category], Table1[Type],"", 0, 1)</f>
        <v>Expense</v>
      </c>
      <c r="F164" s="3">
        <v>45458</v>
      </c>
      <c r="G164" s="4">
        <v>45458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_xlfn.XLOOKUP(operations[[#This Row],[Category]],Table1[Category], Table1[Type],"", 0, 1)</f>
        <v>Transfer</v>
      </c>
      <c r="F165" s="3">
        <v>45459</v>
      </c>
      <c r="G165" s="4">
        <v>45459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_xlfn.XLOOKUP(operations[[#This Row],[Category]],Table1[Category], Table1[Type],"", 0, 1)</f>
        <v>Transfer</v>
      </c>
      <c r="F166" s="3">
        <v>45460</v>
      </c>
      <c r="G166" s="4">
        <v>45460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_xlfn.XLOOKUP(operations[[#This Row],[Category]],Table1[Category], Table1[Type],"", 0, 1)</f>
        <v>Expense</v>
      </c>
      <c r="F167" s="3">
        <v>45461</v>
      </c>
      <c r="G167" s="4">
        <v>45461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_xlfn.XLOOKUP(operations[[#This Row],[Category]],Table1[Category], Table1[Type],"", 0, 1)</f>
        <v>Expense</v>
      </c>
      <c r="F168" s="3">
        <v>45462</v>
      </c>
      <c r="G168" s="4">
        <v>45462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_xlfn.XLOOKUP(operations[[#This Row],[Category]],Table1[Category], Table1[Type],"", 0, 1)</f>
        <v>Expense</v>
      </c>
      <c r="F169" s="3">
        <v>45463</v>
      </c>
      <c r="G169" s="4">
        <v>45463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_xlfn.XLOOKUP(operations[[#This Row],[Category]],Table1[Category], Table1[Type],"", 0, 1)</f>
        <v>Expense</v>
      </c>
      <c r="F170" s="3">
        <v>45464</v>
      </c>
      <c r="G170" s="4">
        <v>45464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_xlfn.XLOOKUP(operations[[#This Row],[Category]],Table1[Category], Table1[Type],"", 0, 1)</f>
        <v>Expense</v>
      </c>
      <c r="F171" s="3">
        <v>45465</v>
      </c>
      <c r="G171" s="4">
        <v>45465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_xlfn.XLOOKUP(operations[[#This Row],[Category]],Table1[Category], Table1[Type],"", 0, 1)</f>
        <v>Expense</v>
      </c>
      <c r="F172" s="3">
        <v>45466</v>
      </c>
      <c r="G172" s="4">
        <v>45466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_xlfn.XLOOKUP(operations[[#This Row],[Category]],Table1[Category], Table1[Type],"", 0, 1)</f>
        <v>Expense</v>
      </c>
      <c r="F173" s="3">
        <v>45467</v>
      </c>
      <c r="G173" s="4">
        <v>45467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_xlfn.XLOOKUP(operations[[#This Row],[Category]],Table1[Category], Table1[Type],"", 0, 1)</f>
        <v>Expense</v>
      </c>
      <c r="F174" s="3">
        <v>45468</v>
      </c>
      <c r="G174" s="4">
        <v>45468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_xlfn.XLOOKUP(operations[[#This Row],[Category]],Table1[Category], Table1[Type],"", 0, 1)</f>
        <v>Expense</v>
      </c>
      <c r="F175" s="3">
        <v>45469</v>
      </c>
      <c r="G175" s="4">
        <v>45469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_xlfn.XLOOKUP(operations[[#This Row],[Category]],Table1[Category], Table1[Type],"", 0, 1)</f>
        <v>Expense</v>
      </c>
      <c r="F176" s="3">
        <v>45470</v>
      </c>
      <c r="G176" s="4">
        <v>45470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_xlfn.XLOOKUP(operations[[#This Row],[Category]],Table1[Category], Table1[Type],"", 0, 1)</f>
        <v>Expense</v>
      </c>
      <c r="F177" s="3">
        <v>45471</v>
      </c>
      <c r="G177" s="4">
        <v>45471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_xlfn.XLOOKUP(operations[[#This Row],[Category]],Table1[Category], Table1[Type],"", 0, 1)</f>
        <v>Expense</v>
      </c>
      <c r="F178" s="3">
        <v>45472</v>
      </c>
      <c r="G178" s="4">
        <v>45472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_xlfn.XLOOKUP(operations[[#This Row],[Category]],Table1[Category], Table1[Type],"", 0, 1)</f>
        <v>Expense</v>
      </c>
      <c r="F179" s="3">
        <v>45473</v>
      </c>
      <c r="G179" s="4">
        <v>45473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_xlfn.XLOOKUP(operations[[#This Row],[Category]],Table1[Category], Table1[Type],"", 0, 1)</f>
        <v>Expense</v>
      </c>
      <c r="F180" s="3">
        <v>45474</v>
      </c>
      <c r="G180" s="4">
        <v>45474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_xlfn.XLOOKUP(operations[[#This Row],[Category]],Table1[Category], Table1[Type],"", 0, 1)</f>
        <v>Expense</v>
      </c>
      <c r="F181" s="3">
        <v>45475</v>
      </c>
      <c r="G181" s="4">
        <v>45475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_xlfn.XLOOKUP(operations[[#This Row],[Category]],Table1[Category], Table1[Type],"", 0, 1)</f>
        <v>Expense</v>
      </c>
      <c r="F182" s="3">
        <v>45476</v>
      </c>
      <c r="G182" s="4">
        <v>45476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_xlfn.XLOOKUP(operations[[#This Row],[Category]],Table1[Category], Table1[Type],"", 0, 1)</f>
        <v>Expense</v>
      </c>
      <c r="F183" s="3">
        <v>45477</v>
      </c>
      <c r="G183" s="4">
        <v>45477</v>
      </c>
    </row>
    <row r="184" spans="1:7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_xlfn.XLOOKUP(operations[[#This Row],[Category]],Table1[Category], Table1[Type],"", 0, 1)</f>
        <v>Income</v>
      </c>
      <c r="F184" s="3">
        <v>45478</v>
      </c>
      <c r="G184" s="4">
        <v>45478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_xlfn.XLOOKUP(operations[[#This Row],[Category]],Table1[Category], Table1[Type],"", 0, 1)</f>
        <v>Expense</v>
      </c>
      <c r="F185" s="3">
        <v>45479</v>
      </c>
      <c r="G185" s="4">
        <v>45479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Row],[Category]],Table1[Category], Table1[Type],"", 0, 1)</f>
        <v>Expense</v>
      </c>
      <c r="F186" s="3">
        <v>45480</v>
      </c>
      <c r="G186" s="4">
        <v>45480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Row],[Category]],Table1[Category], Table1[Type],"", 0, 1)</f>
        <v>Expense</v>
      </c>
      <c r="F187" s="3">
        <v>45481</v>
      </c>
      <c r="G187" s="4">
        <v>45481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_xlfn.XLOOKUP(operations[[#This Row],[Category]],Table1[Category], Table1[Type],"", 0, 1)</f>
        <v>Expense</v>
      </c>
      <c r="F188" s="3">
        <v>45482</v>
      </c>
      <c r="G188" s="4">
        <v>45482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_xlfn.XLOOKUP(operations[[#This Row],[Category]],Table1[Category], Table1[Type],"", 0, 1)</f>
        <v>Expense</v>
      </c>
      <c r="F189" s="3">
        <v>45483</v>
      </c>
      <c r="G189" s="4">
        <v>45483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_xlfn.XLOOKUP(operations[[#This Row],[Category]],Table1[Category], Table1[Type],"", 0, 1)</f>
        <v>Expense</v>
      </c>
      <c r="F190" s="3">
        <v>45484</v>
      </c>
      <c r="G190" s="4">
        <v>45484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_xlfn.XLOOKUP(operations[[#This Row],[Category]],Table1[Category], Table1[Type],"", 0, 1)</f>
        <v>Expense</v>
      </c>
      <c r="F191" s="3">
        <v>45485</v>
      </c>
      <c r="G191" s="4">
        <v>45485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_xlfn.XLOOKUP(operations[[#This Row],[Category]],Table1[Category], Table1[Type],"", 0, 1)</f>
        <v>Expense</v>
      </c>
      <c r="F192" s="3">
        <v>45486</v>
      </c>
      <c r="G192" s="4">
        <v>45486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_xlfn.XLOOKUP(operations[[#This Row],[Category]],Table1[Category], Table1[Type],"", 0, 1)</f>
        <v>Expense</v>
      </c>
      <c r="F193" s="3">
        <v>45487</v>
      </c>
      <c r="G193" s="4">
        <v>45487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_xlfn.XLOOKUP(operations[[#This Row],[Category]],Table1[Category], Table1[Type],"", 0, 1)</f>
        <v>Expense</v>
      </c>
      <c r="F194" s="3">
        <v>45488</v>
      </c>
      <c r="G194" s="4">
        <v>45488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Row],[Category]],Table1[Category], Table1[Type],"", 0, 1)</f>
        <v>Expense</v>
      </c>
      <c r="F195" s="3">
        <v>45489</v>
      </c>
      <c r="G195" s="4">
        <v>45489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_xlfn.XLOOKUP(operations[[#This Row],[Category]],Table1[Category], Table1[Type],"", 0, 1)</f>
        <v>Expense</v>
      </c>
      <c r="F196" s="3">
        <v>45490</v>
      </c>
      <c r="G196" s="4">
        <v>45490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Row],[Category]],Table1[Category], Table1[Type],"", 0, 1)</f>
        <v>Expense</v>
      </c>
      <c r="F197" s="3">
        <v>45491</v>
      </c>
      <c r="G197" s="4">
        <v>45491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_xlfn.XLOOKUP(operations[[#This Row],[Category]],Table1[Category], Table1[Type],"", 0, 1)</f>
        <v>Income</v>
      </c>
      <c r="F198" s="3">
        <v>45492</v>
      </c>
      <c r="G198" s="4">
        <v>45492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_xlfn.XLOOKUP(operations[[#This Row],[Category]],Table1[Category], Table1[Type],"", 0, 1)</f>
        <v>Expense</v>
      </c>
      <c r="F199" s="3">
        <v>45493</v>
      </c>
      <c r="G199" s="4">
        <v>45493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_xlfn.XLOOKUP(operations[[#This Row],[Category]],Table1[Category], Table1[Type],"", 0, 1)</f>
        <v>Expense</v>
      </c>
      <c r="F200" s="3">
        <v>45494</v>
      </c>
      <c r="G200" s="4">
        <v>45494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_xlfn.XLOOKUP(operations[[#This Row],[Category]],Table1[Category], Table1[Type],"", 0, 1)</f>
        <v>Expense</v>
      </c>
      <c r="F201" s="3">
        <v>45495</v>
      </c>
      <c r="G201" s="4">
        <v>45495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_xlfn.XLOOKUP(operations[[#This Row],[Category]],Table1[Category], Table1[Type],"", 0, 1)</f>
        <v>Expense</v>
      </c>
      <c r="F202" s="3">
        <v>45496</v>
      </c>
      <c r="G202" s="4">
        <v>45496</v>
      </c>
    </row>
    <row r="203" spans="1:7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_xlfn.XLOOKUP(operations[[#This Row],[Category]],Table1[Category], Table1[Type],"", 0, 1)</f>
        <v>Income</v>
      </c>
      <c r="F203" s="3">
        <v>45497</v>
      </c>
      <c r="G203" s="4">
        <v>45497</v>
      </c>
    </row>
    <row r="204" spans="1:7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_xlfn.XLOOKUP(operations[[#This Row],[Category]],Table1[Category], Table1[Type],"", 0, 1)</f>
        <v>Expense</v>
      </c>
      <c r="F204" s="3">
        <v>45498</v>
      </c>
      <c r="G204" s="4">
        <v>45498</v>
      </c>
    </row>
    <row r="205" spans="1:7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_xlfn.XLOOKUP(operations[[#This Row],[Category]],Table1[Category], Table1[Type],"", 0, 1)</f>
        <v>Income</v>
      </c>
      <c r="F205" s="3">
        <v>45499</v>
      </c>
      <c r="G205" s="4">
        <v>45499</v>
      </c>
    </row>
    <row r="206" spans="1:7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_xlfn.XLOOKUP(operations[[#This Row],[Category]],Table1[Category], Table1[Type],"", 0, 1)</f>
        <v>Expense</v>
      </c>
      <c r="F206" s="3">
        <v>45500</v>
      </c>
      <c r="G206" s="4">
        <v>45500</v>
      </c>
    </row>
    <row r="207" spans="1:7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_xlfn.XLOOKUP(operations[[#This Row],[Category]],Table1[Category], Table1[Type],"", 0, 1)</f>
        <v>Expense</v>
      </c>
      <c r="F207" s="3">
        <v>45501</v>
      </c>
      <c r="G207" s="4">
        <v>45501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977F6-7D46-442B-B33F-C9C4A8E1A145}">
  <dimension ref="A1:K17"/>
  <sheetViews>
    <sheetView tabSelected="1" workbookViewId="0">
      <selection activeCell="D4" sqref="D4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4.7109375" customWidth="1"/>
    <col min="7" max="7" width="18" customWidth="1"/>
    <col min="8" max="8" width="12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41</v>
      </c>
      <c r="D1" t="s">
        <v>40</v>
      </c>
      <c r="E1" t="s">
        <v>39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38</v>
      </c>
      <c r="B2" t="s">
        <v>8</v>
      </c>
      <c r="C2" s="5">
        <v>100</v>
      </c>
      <c r="D2" s="5">
        <f ca="1">SUMIFS(operations[Amount], operations[Bank], Table6[[#This Row],[Bank]], operations[Product], Table6[[#This Row],[Product]], operations[Month], $B$11)</f>
        <v>0</v>
      </c>
      <c r="E2" s="5">
        <f ca="1">Table6[[#This Row],[Opening balance]]-Table6[[#This Row],[Operations]]</f>
        <v>100</v>
      </c>
      <c r="G2" t="s">
        <v>25</v>
      </c>
      <c r="H2" s="5"/>
      <c r="J2" t="s">
        <v>18</v>
      </c>
      <c r="K2" s="5"/>
    </row>
    <row r="3" spans="1:11" x14ac:dyDescent="0.25">
      <c r="A3" t="s">
        <v>38</v>
      </c>
      <c r="B3" t="s">
        <v>12</v>
      </c>
      <c r="C3" s="5">
        <v>10.5</v>
      </c>
      <c r="D3" s="5">
        <f ca="1">SUMIFS(operations[Amount], operations[Bank], Table6[[#This Row],[Bank]], operations[Product], Table6[[#This Row],[Product]], operations[Month], $B$11)</f>
        <v>0</v>
      </c>
      <c r="E3" s="5">
        <f ca="1">Table6[[#This Row],[Opening balance]]-Table6[[#This Row],[Operations]]</f>
        <v>10.5</v>
      </c>
      <c r="G3" t="s">
        <v>28</v>
      </c>
      <c r="H3" s="5"/>
      <c r="J3" t="s">
        <v>22</v>
      </c>
      <c r="K3" s="5"/>
    </row>
    <row r="4" spans="1:11" x14ac:dyDescent="0.25">
      <c r="A4" t="s">
        <v>7</v>
      </c>
      <c r="B4" t="s">
        <v>8</v>
      </c>
      <c r="C4" s="5">
        <v>600</v>
      </c>
      <c r="D4" s="5">
        <f ca="1">SUMIFS(operations[Amount], operations[Bank], Table6[[#This Row],[Bank]], operations[Product], Table6[[#This Row],[Product]], operations[Month], $B$11)</f>
        <v>-1500</v>
      </c>
      <c r="E4" s="5">
        <f ca="1">Table6[[#This Row],[Opening balance]]-Table6[[#This Row],[Operations]]</f>
        <v>2100</v>
      </c>
      <c r="G4" t="s">
        <v>29</v>
      </c>
      <c r="H4" s="5"/>
      <c r="J4" t="s">
        <v>20</v>
      </c>
      <c r="K4" s="5"/>
    </row>
    <row r="5" spans="1:11" x14ac:dyDescent="0.25">
      <c r="A5" t="s">
        <v>7</v>
      </c>
      <c r="B5" t="s">
        <v>9</v>
      </c>
      <c r="C5" s="5"/>
      <c r="D5" s="5">
        <f ca="1">SUMIFS(operations[Amount], operations[Bank], Table6[[#This Row],[Bank]], operations[Product], Table6[[#This Row],[Product]], operations[Month], $B$11)</f>
        <v>0</v>
      </c>
      <c r="E5" s="5">
        <f ca="1">Table6[[#This Row],[Opening balance]]-Table6[[#This Row],[Operations]]</f>
        <v>0</v>
      </c>
      <c r="G5" t="s">
        <v>37</v>
      </c>
      <c r="H5" s="5"/>
      <c r="J5" t="s">
        <v>17</v>
      </c>
      <c r="K5" s="5"/>
    </row>
    <row r="6" spans="1:11" x14ac:dyDescent="0.25">
      <c r="A6" t="s">
        <v>7</v>
      </c>
      <c r="B6" t="s">
        <v>10</v>
      </c>
      <c r="C6" s="5">
        <v>2000</v>
      </c>
      <c r="D6" s="5">
        <f ca="1">SUMIFS(operations[Amount], operations[Bank], Table6[[#This Row],[Bank]], operations[Product], Table6[[#This Row],[Product]], operations[Month], $B$11)</f>
        <v>0</v>
      </c>
      <c r="E6" s="5">
        <f ca="1">Table6[[#This Row],[Opening balance]]-Table6[[#This Row],[Operations]]</f>
        <v>2000</v>
      </c>
      <c r="G6" t="s">
        <v>26</v>
      </c>
      <c r="H6" s="5"/>
      <c r="J6" t="s">
        <v>21</v>
      </c>
      <c r="K6" s="5"/>
    </row>
    <row r="7" spans="1:11" x14ac:dyDescent="0.25">
      <c r="A7" t="s">
        <v>13</v>
      </c>
      <c r="B7" t="s">
        <v>15</v>
      </c>
      <c r="C7" s="5">
        <v>200</v>
      </c>
      <c r="D7" s="5">
        <f ca="1">SUMIFS(operations[Amount], operations[Bank], Table6[[#This Row],[Bank]], operations[Product], Table6[[#This Row],[Product]], operations[Month], $B$11)</f>
        <v>0</v>
      </c>
      <c r="E7" s="5">
        <f ca="1">Table6[[#This Row],[Opening balance]]-Table6[[#This Row],[Operations]]</f>
        <v>200</v>
      </c>
      <c r="G7" t="s">
        <v>36</v>
      </c>
      <c r="H7" s="5"/>
      <c r="J7" t="s">
        <v>19</v>
      </c>
      <c r="K7" s="5"/>
    </row>
    <row r="8" spans="1:11" x14ac:dyDescent="0.25">
      <c r="A8" t="s">
        <v>13</v>
      </c>
      <c r="B8" t="s">
        <v>14</v>
      </c>
      <c r="C8" s="5">
        <v>30</v>
      </c>
      <c r="D8" s="5">
        <f ca="1">SUMIFS(operations[Amount], operations[Bank], Table6[[#This Row],[Bank]], operations[Product], Table6[[#This Row],[Product]], operations[Month], $B$11)</f>
        <v>0</v>
      </c>
      <c r="E8" s="5">
        <f ca="1">Table6[[#This Row],[Opening balance]]-Table6[[#This Row],[Operations]]</f>
        <v>30</v>
      </c>
      <c r="G8" t="s">
        <v>34</v>
      </c>
      <c r="H8" s="5">
        <f>SUBTOTAL(9,Table7[Total])</f>
        <v>0</v>
      </c>
      <c r="J8" t="s">
        <v>24</v>
      </c>
      <c r="K8" s="5"/>
    </row>
    <row r="9" spans="1:11" x14ac:dyDescent="0.25">
      <c r="A9" t="s">
        <v>34</v>
      </c>
      <c r="C9" s="5">
        <f>SUBTOTAL(9,Table6[Opening balance])</f>
        <v>2940.5</v>
      </c>
      <c r="D9" s="5">
        <f ca="1">SUBTOTAL(9,Table6[Operations])</f>
        <v>-1500</v>
      </c>
      <c r="E9" s="5">
        <f ca="1">SUBTOTAL(9,Table6[Closing balance])</f>
        <v>4440.5</v>
      </c>
      <c r="J9" t="s">
        <v>23</v>
      </c>
      <c r="K9" s="5"/>
    </row>
    <row r="10" spans="1:11" x14ac:dyDescent="0.25">
      <c r="J10" t="s">
        <v>35</v>
      </c>
      <c r="K10" s="5"/>
    </row>
    <row r="11" spans="1:11" ht="15.75" thickBot="1" x14ac:dyDescent="0.3">
      <c r="A11" s="6" t="s">
        <v>6</v>
      </c>
      <c r="B11" s="8" t="str" cm="1">
        <f t="array" aca="1" ref="B11" ca="1">_xlfn.TEXTAFTER(CELL("filename",A1),"]")</f>
        <v>1</v>
      </c>
      <c r="C11" s="7"/>
      <c r="J11" t="s">
        <v>34</v>
      </c>
      <c r="K11" s="5">
        <f>SUBTOTAL(9,Table8[Total])</f>
        <v>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5"/>
    </row>
    <row r="15" spans="1:11" x14ac:dyDescent="0.25">
      <c r="A15" t="s">
        <v>33</v>
      </c>
      <c r="B15" s="5"/>
    </row>
    <row r="16" spans="1:11" x14ac:dyDescent="0.25">
      <c r="A16" t="s">
        <v>31</v>
      </c>
      <c r="B16" s="5"/>
    </row>
    <row r="17" spans="1:2" x14ac:dyDescent="0.25">
      <c r="A17" t="s">
        <v>34</v>
      </c>
      <c r="B17" s="5">
        <f>SUBTOTAL(9,Table9[Total])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DB42-AEAF-4104-BB3B-345434C975C5}">
  <dimension ref="A1:B17"/>
  <sheetViews>
    <sheetView workbookViewId="0">
      <selection activeCell="H18" sqref="H18"/>
    </sheetView>
  </sheetViews>
  <sheetFormatPr defaultRowHeight="15" x14ac:dyDescent="0.25"/>
  <cols>
    <col min="1" max="1" width="22" customWidth="1"/>
  </cols>
  <sheetData>
    <row r="1" spans="1:2" x14ac:dyDescent="0.25">
      <c r="A1" t="s">
        <v>3</v>
      </c>
      <c r="B1" t="s">
        <v>4</v>
      </c>
    </row>
    <row r="2" spans="1:2" x14ac:dyDescent="0.25">
      <c r="A2" s="1" t="s">
        <v>18</v>
      </c>
      <c r="B2" t="s">
        <v>32</v>
      </c>
    </row>
    <row r="3" spans="1:2" x14ac:dyDescent="0.25">
      <c r="A3" s="1" t="s">
        <v>25</v>
      </c>
      <c r="B3" t="s">
        <v>33</v>
      </c>
    </row>
    <row r="4" spans="1:2" x14ac:dyDescent="0.25">
      <c r="A4" s="1" t="s">
        <v>22</v>
      </c>
      <c r="B4" t="s">
        <v>32</v>
      </c>
    </row>
    <row r="5" spans="1:2" x14ac:dyDescent="0.25">
      <c r="A5" s="1" t="s">
        <v>20</v>
      </c>
      <c r="B5" t="s">
        <v>32</v>
      </c>
    </row>
    <row r="6" spans="1:2" x14ac:dyDescent="0.25">
      <c r="A6" s="1" t="s">
        <v>28</v>
      </c>
      <c r="B6" t="s">
        <v>33</v>
      </c>
    </row>
    <row r="7" spans="1:2" x14ac:dyDescent="0.25">
      <c r="A7" s="1" t="s">
        <v>29</v>
      </c>
      <c r="B7" t="s">
        <v>33</v>
      </c>
    </row>
    <row r="8" spans="1:2" x14ac:dyDescent="0.25">
      <c r="A8" s="1" t="s">
        <v>17</v>
      </c>
      <c r="B8" t="s">
        <v>32</v>
      </c>
    </row>
    <row r="9" spans="1:2" x14ac:dyDescent="0.25">
      <c r="A9" s="1" t="s">
        <v>21</v>
      </c>
      <c r="B9" t="s">
        <v>32</v>
      </c>
    </row>
    <row r="10" spans="1:2" x14ac:dyDescent="0.25">
      <c r="A10" s="1" t="s">
        <v>19</v>
      </c>
      <c r="B10" t="s">
        <v>32</v>
      </c>
    </row>
    <row r="11" spans="1:2" x14ac:dyDescent="0.25">
      <c r="A11" s="1" t="s">
        <v>24</v>
      </c>
      <c r="B11" t="s">
        <v>32</v>
      </c>
    </row>
    <row r="12" spans="1:2" x14ac:dyDescent="0.25">
      <c r="A12" s="1" t="s">
        <v>30</v>
      </c>
      <c r="B12" t="s">
        <v>33</v>
      </c>
    </row>
    <row r="13" spans="1:2" x14ac:dyDescent="0.25">
      <c r="A13" s="1" t="s">
        <v>26</v>
      </c>
      <c r="B13" t="s">
        <v>33</v>
      </c>
    </row>
    <row r="14" spans="1:2" x14ac:dyDescent="0.25">
      <c r="A14" s="1" t="s">
        <v>27</v>
      </c>
      <c r="B14" t="s">
        <v>33</v>
      </c>
    </row>
    <row r="15" spans="1:2" x14ac:dyDescent="0.25">
      <c r="A15" s="1" t="s">
        <v>23</v>
      </c>
      <c r="B15" t="s">
        <v>32</v>
      </c>
    </row>
    <row r="16" spans="1:2" x14ac:dyDescent="0.25">
      <c r="A16" s="1" t="s">
        <v>31</v>
      </c>
      <c r="B16" t="s">
        <v>31</v>
      </c>
    </row>
    <row r="17" spans="1:2" x14ac:dyDescent="0.25">
      <c r="A17" s="1" t="s">
        <v>16</v>
      </c>
      <c r="B17" t="s">
        <v>32</v>
      </c>
    </row>
  </sheetData>
  <sortState xmlns:xlrd2="http://schemas.microsoft.com/office/spreadsheetml/2017/richdata2" ref="A2:B17">
    <sortCondition ref="A1:A17"/>
  </sortState>
  <dataValidations count="1">
    <dataValidation type="list" allowBlank="1" showInputMessage="1" showErrorMessage="1" sqref="B2:B17" xr:uid="{4DE2A8F4-9209-41DC-A95A-5A42714406A0}">
      <formula1>"Income, Expense, Transfer"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operations</vt:lpstr>
      <vt:lpstr>1</vt:lpstr>
      <vt:lpstr>dictionary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2024-12-14T15:11:08Z</dcterms:created>
  <dcterms:modified xsi:type="dcterms:W3CDTF">2025-11-26T15:08:36Z</dcterms:modified>
</cp:coreProperties>
</file>