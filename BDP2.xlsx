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11\Desktop\New folder\"/>
    </mc:Choice>
  </mc:AlternateContent>
  <xr:revisionPtr revIDLastSave="0" documentId="13_ncr:1_{B3A70114-DF3B-4607-B900-4B6150DABAFB}" xr6:coauthVersionLast="47" xr6:coauthVersionMax="47" xr10:uidLastSave="{00000000-0000-0000-0000-000000000000}"/>
  <bookViews>
    <workbookView xWindow="-120" yWindow="-120" windowWidth="29040" windowHeight="15840" xr2:uid="{5FB55F4A-ADCD-4FB3-95A5-9868C5662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O7" i="1"/>
  <c r="O6" i="1"/>
  <c r="O5" i="1"/>
  <c r="J5" i="1"/>
  <c r="J7" i="1"/>
  <c r="J11" i="1"/>
  <c r="J10" i="1"/>
  <c r="J9" i="1"/>
  <c r="J8" i="1"/>
  <c r="J6" i="1"/>
  <c r="C26" i="1"/>
  <c r="D24" i="1"/>
  <c r="D22" i="1"/>
  <c r="C24" i="1"/>
  <c r="C23" i="1"/>
  <c r="C22" i="1"/>
  <c r="B24" i="1"/>
  <c r="B22" i="1"/>
  <c r="B19" i="1"/>
  <c r="T15" i="1"/>
  <c r="U15" i="1"/>
  <c r="Q15" i="1"/>
  <c r="P15" i="1"/>
  <c r="L15" i="1"/>
  <c r="K15" i="1"/>
  <c r="G15" i="1"/>
  <c r="C15" i="1"/>
  <c r="B15" i="1"/>
  <c r="F15" i="1"/>
  <c r="B23" i="1" s="1"/>
  <c r="B26" i="1" l="1"/>
  <c r="D23" i="1"/>
  <c r="D26" i="1" s="1"/>
</calcChain>
</file>

<file path=xl/sharedStrings.xml><?xml version="1.0" encoding="utf-8"?>
<sst xmlns="http://schemas.openxmlformats.org/spreadsheetml/2006/main" count="64" uniqueCount="45">
  <si>
    <t>Income</t>
  </si>
  <si>
    <t>Rent</t>
  </si>
  <si>
    <t>Internet</t>
  </si>
  <si>
    <t>Groceries</t>
  </si>
  <si>
    <t>Transportation</t>
  </si>
  <si>
    <t>Expences</t>
  </si>
  <si>
    <t>Bills</t>
  </si>
  <si>
    <t>Subscriptions</t>
  </si>
  <si>
    <t>Category</t>
  </si>
  <si>
    <t>Planned</t>
  </si>
  <si>
    <t>Due</t>
  </si>
  <si>
    <t>Actual</t>
  </si>
  <si>
    <t>Accomodation</t>
  </si>
  <si>
    <t>Education</t>
  </si>
  <si>
    <t>Entertainment</t>
  </si>
  <si>
    <t>Water</t>
  </si>
  <si>
    <t>Mobile phone</t>
  </si>
  <si>
    <t>Gas</t>
  </si>
  <si>
    <t>Electricity</t>
  </si>
  <si>
    <t>Waste</t>
  </si>
  <si>
    <t>Netflix</t>
  </si>
  <si>
    <t>Spotify</t>
  </si>
  <si>
    <t>Audible</t>
  </si>
  <si>
    <t>iCloud</t>
  </si>
  <si>
    <t>Clothing</t>
  </si>
  <si>
    <t>Source</t>
  </si>
  <si>
    <t>Scholarship</t>
  </si>
  <si>
    <t>Salary</t>
  </si>
  <si>
    <t>Allowance</t>
  </si>
  <si>
    <t>Gifts</t>
  </si>
  <si>
    <t>Pension</t>
  </si>
  <si>
    <t>Other</t>
  </si>
  <si>
    <t>Health&amp;Beauty</t>
  </si>
  <si>
    <t>Electronics</t>
  </si>
  <si>
    <t>Appliances&amp;Furniture</t>
  </si>
  <si>
    <t>Sum</t>
  </si>
  <si>
    <t>Savings</t>
  </si>
  <si>
    <t>Aim</t>
  </si>
  <si>
    <t>Investments</t>
  </si>
  <si>
    <t>Retirement</t>
  </si>
  <si>
    <t>Travel</t>
  </si>
  <si>
    <t>Gifts&amp;Donations</t>
  </si>
  <si>
    <t>Month</t>
  </si>
  <si>
    <t>Balance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</si>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</sst>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zł&quot;_-;\-* #,##0.00\ &quot;zł&quot;_-;_-* &quot;-&quot;??\ &quot;zł&quot;_-;_-@_-"/>
    <numFmt numFmtId="165" formatCode="_-[$€-2]\ * #,##0.00_-;\-[$€-2]\ * #,##0.00_-;_-[$€-2]\ * &quot;-&quot;??_-;_-@_-"/>
    <numFmt numFmtId="173" formatCode="mmmm"/>
    <numFmt numFmtId="174" formatCode="_([$€-2]\ * #,##0.00_);_([$€-2]\ * \(#,##0.00\);_([$€-2]\ * &quot;-&quot;??_);_(@_)"/>
    <numFmt numFmtId="176" formatCode="dd\-mmmm"/>
    <numFmt numFmtId="177" formatCode="d\ mmmm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B7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165" fontId="0" fillId="14" borderId="3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5" fontId="0" fillId="7" borderId="3" xfId="0" applyNumberFormat="1" applyFill="1" applyBorder="1" applyAlignment="1">
      <alignment horizontal="center" vertical="center"/>
    </xf>
    <xf numFmtId="165" fontId="2" fillId="8" borderId="2" xfId="0" applyNumberFormat="1" applyFont="1" applyFill="1" applyBorder="1" applyAlignment="1">
      <alignment horizontal="center" vertical="center"/>
    </xf>
    <xf numFmtId="165" fontId="2" fillId="10" borderId="2" xfId="0" applyNumberFormat="1" applyFont="1" applyFill="1" applyBorder="1" applyAlignment="1">
      <alignment horizontal="center" vertical="center"/>
    </xf>
    <xf numFmtId="165" fontId="2" fillId="12" borderId="2" xfId="0" applyNumberFormat="1" applyFont="1" applyFill="1" applyBorder="1" applyAlignment="1">
      <alignment horizontal="center" vertical="center"/>
    </xf>
    <xf numFmtId="165" fontId="2" fillId="13" borderId="2" xfId="0" applyNumberFormat="1" applyFont="1" applyFill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16" borderId="1" xfId="1" applyNumberFormat="1" applyFont="1" applyFill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165" fontId="0" fillId="16" borderId="3" xfId="1" applyNumberFormat="1" applyFont="1" applyFill="1" applyBorder="1" applyAlignment="1">
      <alignment horizontal="center" vertical="center"/>
    </xf>
    <xf numFmtId="165" fontId="0" fillId="16" borderId="3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174" fontId="0" fillId="18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7" fontId="0" fillId="14" borderId="1" xfId="0" applyNumberFormat="1" applyFill="1" applyBorder="1" applyAlignment="1">
      <alignment horizontal="center" vertical="center"/>
    </xf>
    <xf numFmtId="177" fontId="0" fillId="14" borderId="3" xfId="0" applyNumberForma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5"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0066"/>
      <color rgb="FFFFCC99"/>
      <color rgb="FFFF9900"/>
      <color rgb="FFFF99CC"/>
      <color rgb="FFFF6699"/>
      <color rgb="FFFF99FF"/>
      <color rgb="FFFF66FF"/>
      <color rgb="FFFFB7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Sheet1!$A$22:$A$24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Sheet1!$B$22:$B$24</c:f>
              <c:numCache>
                <c:formatCode>_-[$€-2]\ * #,##0.00_-;\-[$€-2]\ * #,##0.00_-;_-[$€-2]\ * "-"??_-;_-@_-</c:formatCode>
                <c:ptCount val="3"/>
                <c:pt idx="0">
                  <c:v>2030</c:v>
                </c:pt>
                <c:pt idx="1">
                  <c:v>1650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0-42F2-AA21-7DD576DB8080}"/>
            </c:ext>
          </c:extLst>
        </c:ser>
        <c:ser>
          <c:idx val="1"/>
          <c:order val="1"/>
          <c:tx>
            <c:strRef>
              <c:f>Sheet1!$C$21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Sheet1!$A$22:$A$24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Sheet1!$C$22:$C$24</c:f>
              <c:numCache>
                <c:formatCode>_-[$€-2]\ * #,##0.00_-;\-[$€-2]\ * #,##0.00_-;_-[$€-2]\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0-42F2-AA21-7DD576DB8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11614703"/>
        <c:axId val="911618063"/>
      </c:barChart>
      <c:catAx>
        <c:axId val="91161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11618063"/>
        <c:crosses val="autoZero"/>
        <c:auto val="1"/>
        <c:lblAlgn val="ctr"/>
        <c:lblOffset val="100"/>
        <c:noMultiLvlLbl val="0"/>
      </c:catAx>
      <c:valAx>
        <c:axId val="9116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1161470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structure</a:t>
            </a:r>
          </a:p>
        </c:rich>
      </c:tx>
      <c:layout>
        <c:manualLayout>
          <c:xMode val="edge"/>
          <c:yMode val="edge"/>
          <c:x val="0.26334198660143271"/>
          <c:y val="2.7777949713916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21-4599-B1E2-2FE59AF2D6AD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21-4599-B1E2-2FE59AF2D6AD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F21-4599-B1E2-2FE59AF2D6AD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21-4599-B1E2-2FE59AF2D6AD}"/>
              </c:ext>
            </c:extLst>
          </c:dPt>
          <c:dLbls>
            <c:dLbl>
              <c:idx val="0"/>
              <c:layout>
                <c:manualLayout>
                  <c:x val="0.14166666666666666"/>
                  <c:y val="-0.129629629629629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21-4599-B1E2-2FE59AF2D6AD}"/>
                </c:ext>
              </c:extLst>
            </c:dLbl>
            <c:dLbl>
              <c:idx val="1"/>
              <c:layout>
                <c:manualLayout>
                  <c:x val="9.1666666666666563E-2"/>
                  <c:y val="-5.55555555555556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21-4599-B1E2-2FE59AF2D6AD}"/>
                </c:ext>
              </c:extLst>
            </c:dLbl>
            <c:dLbl>
              <c:idx val="2"/>
              <c:layout>
                <c:manualLayout>
                  <c:x val="-0.14722222222222223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21-4599-B1E2-2FE59AF2D6AD}"/>
                </c:ext>
              </c:extLst>
            </c:dLbl>
            <c:dLbl>
              <c:idx val="3"/>
              <c:layout>
                <c:manualLayout>
                  <c:x val="-0.18611111111111112"/>
                  <c:y val="-9.25925925925925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21-4599-B1E2-2FE59AF2D6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Sheet1!$A$5:$A$8</c:f>
              <c:strCache>
                <c:ptCount val="4"/>
                <c:pt idx="0">
                  <c:v>Scholarship</c:v>
                </c:pt>
                <c:pt idx="1">
                  <c:v>Salary</c:v>
                </c:pt>
                <c:pt idx="2">
                  <c:v>Allowance</c:v>
                </c:pt>
                <c:pt idx="3">
                  <c:v>Gifts</c:v>
                </c:pt>
              </c:strCache>
            </c:strRef>
          </c:cat>
          <c:val>
            <c:numRef>
              <c:f>Sheet1!$B$5:$B$8</c:f>
              <c:numCache>
                <c:formatCode>_-[$€-2]\ * #,##0.00_-;\-[$€-2]\ * #,##0.00_-;_-[$€-2]\ * "-"??_-;_-@_-</c:formatCode>
                <c:ptCount val="4"/>
                <c:pt idx="0">
                  <c:v>230</c:v>
                </c:pt>
                <c:pt idx="1">
                  <c:v>200</c:v>
                </c:pt>
                <c:pt idx="2">
                  <c:v>1500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1-4599-B1E2-2FE59AF2D6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Expences</a:t>
            </a:r>
            <a:r>
              <a:rPr lang="en-US" baseline="0"/>
              <a:t> structure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7363646655806978"/>
          <c:y val="0.18436236168570816"/>
          <c:w val="0.4527270668838605"/>
          <c:h val="0.66853491293525125"/>
        </c:manualLayout>
      </c:layout>
      <c:doughnutChart>
        <c:varyColors val="1"/>
        <c:ser>
          <c:idx val="0"/>
          <c:order val="0"/>
          <c:tx>
            <c:strRef>
              <c:f>Sheet1!$F$4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A0-43D9-9439-EC739F041A19}"/>
              </c:ext>
            </c:extLst>
          </c:dPt>
          <c:dPt>
            <c:idx val="1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A0-43D9-9439-EC739F041A19}"/>
              </c:ext>
            </c:extLst>
          </c:dPt>
          <c:dPt>
            <c:idx val="2"/>
            <c:bubble3D val="0"/>
            <c:spPr>
              <a:solidFill>
                <a:schemeClr val="accent4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A0-43D9-9439-EC739F041A19}"/>
              </c:ext>
            </c:extLst>
          </c:dPt>
          <c:dPt>
            <c:idx val="3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0A0-43D9-9439-EC739F041A19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0A0-43D9-9439-EC739F041A19}"/>
              </c:ext>
            </c:extLst>
          </c:dPt>
          <c:dPt>
            <c:idx val="5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A0-43D9-9439-EC739F041A19}"/>
              </c:ext>
            </c:extLst>
          </c:dPt>
          <c:dPt>
            <c:idx val="6"/>
            <c:bubble3D val="0"/>
            <c:spPr>
              <a:solidFill>
                <a:schemeClr val="accent4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0A0-43D9-9439-EC739F041A19}"/>
              </c:ext>
            </c:extLst>
          </c:dPt>
          <c:dPt>
            <c:idx val="7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A0-43D9-9439-EC739F041A19}"/>
              </c:ext>
            </c:extLst>
          </c:dPt>
          <c:dPt>
            <c:idx val="8"/>
            <c:bubble3D val="0"/>
            <c:spPr>
              <a:solidFill>
                <a:schemeClr val="accent4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A0-43D9-9439-EC739F041A19}"/>
              </c:ext>
            </c:extLst>
          </c:dPt>
          <c:dLbls>
            <c:dLbl>
              <c:idx val="0"/>
              <c:layout>
                <c:manualLayout>
                  <c:x val="0.1909355714808105"/>
                  <c:y val="0.105329923466575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A0-43D9-9439-EC739F041A19}"/>
                </c:ext>
              </c:extLst>
            </c:dLbl>
            <c:dLbl>
              <c:idx val="1"/>
              <c:layout>
                <c:manualLayout>
                  <c:x val="0.27222222222222231"/>
                  <c:y val="-4.16666666666667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A0-43D9-9439-EC739F041A19}"/>
                </c:ext>
              </c:extLst>
            </c:dLbl>
            <c:dLbl>
              <c:idx val="2"/>
              <c:layout>
                <c:manualLayout>
                  <c:x val="-0.1953703137497885"/>
                  <c:y val="0.189335003452417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A0-43D9-9439-EC739F041A19}"/>
                </c:ext>
              </c:extLst>
            </c:dLbl>
            <c:dLbl>
              <c:idx val="3"/>
              <c:layout>
                <c:manualLayout>
                  <c:x val="-0.20000000000000004"/>
                  <c:y val="9.72222222222222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A0-43D9-9439-EC739F041A19}"/>
                </c:ext>
              </c:extLst>
            </c:dLbl>
            <c:dLbl>
              <c:idx val="4"/>
              <c:layout>
                <c:manualLayout>
                  <c:x val="-0.27144242583201761"/>
                  <c:y val="0.1573834591483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A0-43D9-9439-EC739F041A19}"/>
                </c:ext>
              </c:extLst>
            </c:dLbl>
            <c:dLbl>
              <c:idx val="5"/>
              <c:layout>
                <c:manualLayout>
                  <c:x val="-0.30833333333333335"/>
                  <c:y val="9.25925925925925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A0-43D9-9439-EC739F041A19}"/>
                </c:ext>
              </c:extLst>
            </c:dLbl>
            <c:dLbl>
              <c:idx val="6"/>
              <c:layout>
                <c:manualLayout>
                  <c:x val="-0.28333333333333333"/>
                  <c:y val="-2.31481481481481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A0-43D9-9439-EC739F041A19}"/>
                </c:ext>
              </c:extLst>
            </c:dLbl>
            <c:dLbl>
              <c:idx val="7"/>
              <c:layout>
                <c:manualLayout>
                  <c:x val="-0.29756327390955511"/>
                  <c:y val="-0.147931740772761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221044814276438"/>
                      <c:h val="0.1655960062201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0A0-43D9-9439-EC739F041A19}"/>
                </c:ext>
              </c:extLst>
            </c:dLbl>
            <c:dLbl>
              <c:idx val="8"/>
              <c:layout>
                <c:manualLayout>
                  <c:x val="0.32046771820501241"/>
                  <c:y val="-0.138769053573397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A0-43D9-9439-EC739F041A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Sheet1!$E$5:$E$13</c:f>
              <c:strCache>
                <c:ptCount val="9"/>
                <c:pt idx="0">
                  <c:v>Accomodation</c:v>
                </c:pt>
                <c:pt idx="1">
                  <c:v>Education</c:v>
                </c:pt>
                <c:pt idx="2">
                  <c:v>Entertainment</c:v>
                </c:pt>
                <c:pt idx="3">
                  <c:v>Groceries</c:v>
                </c:pt>
                <c:pt idx="4">
                  <c:v>Clothing</c:v>
                </c:pt>
                <c:pt idx="5">
                  <c:v>Transportation</c:v>
                </c:pt>
                <c:pt idx="6">
                  <c:v>Health&amp;Beauty</c:v>
                </c:pt>
                <c:pt idx="7">
                  <c:v>Gifts&amp;Donations</c:v>
                </c:pt>
                <c:pt idx="8">
                  <c:v>Other</c:v>
                </c:pt>
              </c:strCache>
            </c:strRef>
          </c:cat>
          <c:val>
            <c:numRef>
              <c:f>Sheet1!$F$5:$F$13</c:f>
              <c:numCache>
                <c:formatCode>_-[$€-2]\ * #,##0.00_-;\-[$€-2]\ * #,##0.00_-;_-[$€-2]\ * "-"??_-;_-@_-</c:formatCode>
                <c:ptCount val="9"/>
                <c:pt idx="0">
                  <c:v>529</c:v>
                </c:pt>
                <c:pt idx="1">
                  <c:v>450</c:v>
                </c:pt>
                <c:pt idx="2">
                  <c:v>150</c:v>
                </c:pt>
                <c:pt idx="3">
                  <c:v>300</c:v>
                </c:pt>
                <c:pt idx="4">
                  <c:v>100</c:v>
                </c:pt>
                <c:pt idx="5">
                  <c:v>30</c:v>
                </c:pt>
                <c:pt idx="6">
                  <c:v>50</c:v>
                </c:pt>
                <c:pt idx="7">
                  <c:v>20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0-43D9-9439-EC739F04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Bills</a:t>
            </a:r>
            <a:r>
              <a:rPr lang="en-US" baseline="0"/>
              <a:t>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0531780402449693"/>
          <c:y val="0.21740449110527851"/>
          <c:w val="0.40047572178477692"/>
          <c:h val="0.66745953630796151"/>
        </c:manualLayout>
      </c:layout>
      <c:doughnutChart>
        <c:varyColors val="1"/>
        <c:ser>
          <c:idx val="0"/>
          <c:order val="0"/>
          <c:tx>
            <c:strRef>
              <c:f>Sheet1!$K$4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D5-4B95-AB47-1C83055DBC8A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D5-4B95-AB47-1C83055DBC8A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9D5-4B95-AB47-1C83055DBC8A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D5-4B95-AB47-1C83055DBC8A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9D5-4B95-AB47-1C83055DBC8A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D5-4B95-AB47-1C83055DBC8A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9D5-4B95-AB47-1C83055DBC8A}"/>
              </c:ext>
            </c:extLst>
          </c:dPt>
          <c:dLbls>
            <c:dLbl>
              <c:idx val="0"/>
              <c:layout>
                <c:manualLayout>
                  <c:x val="0.18888888888888888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D5-4B95-AB47-1C83055DBC8A}"/>
                </c:ext>
              </c:extLst>
            </c:dLbl>
            <c:dLbl>
              <c:idx val="1"/>
              <c:layout>
                <c:manualLayout>
                  <c:x val="-0.17499999999999999"/>
                  <c:y val="0.282407407407407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D5-4B95-AB47-1C83055DBC8A}"/>
                </c:ext>
              </c:extLst>
            </c:dLbl>
            <c:dLbl>
              <c:idx val="2"/>
              <c:layout>
                <c:manualLayout>
                  <c:x val="-0.20555555555555557"/>
                  <c:y val="9.7222222222222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D5-4B95-AB47-1C83055DBC8A}"/>
                </c:ext>
              </c:extLst>
            </c:dLbl>
            <c:dLbl>
              <c:idx val="3"/>
              <c:layout>
                <c:manualLayout>
                  <c:x val="-0.2"/>
                  <c:y val="-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D5-4B95-AB47-1C83055DBC8A}"/>
                </c:ext>
              </c:extLst>
            </c:dLbl>
            <c:dLbl>
              <c:idx val="4"/>
              <c:layout>
                <c:manualLayout>
                  <c:x val="-0.24166666666666667"/>
                  <c:y val="-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D5-4B95-AB47-1C83055DBC8A}"/>
                </c:ext>
              </c:extLst>
            </c:dLbl>
            <c:dLbl>
              <c:idx val="5"/>
              <c:layout>
                <c:manualLayout>
                  <c:x val="-0.24166666666666667"/>
                  <c:y val="-0.1111111111111111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D5-4B95-AB47-1C83055DBC8A}"/>
                </c:ext>
              </c:extLst>
            </c:dLbl>
            <c:dLbl>
              <c:idx val="6"/>
              <c:layout>
                <c:manualLayout>
                  <c:x val="0.31666666666666665"/>
                  <c:y val="-5.09259259259259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D5-4B95-AB47-1C83055DB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Sheet1!$I$5:$I$11</c:f>
              <c:strCache>
                <c:ptCount val="7"/>
                <c:pt idx="0">
                  <c:v>Rent</c:v>
                </c:pt>
                <c:pt idx="1">
                  <c:v>Internet</c:v>
                </c:pt>
                <c:pt idx="2">
                  <c:v>Mobile phone</c:v>
                </c:pt>
                <c:pt idx="3">
                  <c:v>Water</c:v>
                </c:pt>
                <c:pt idx="4">
                  <c:v>Gas</c:v>
                </c:pt>
                <c:pt idx="5">
                  <c:v>Electricity</c:v>
                </c:pt>
                <c:pt idx="6">
                  <c:v>Waste</c:v>
                </c:pt>
              </c:strCache>
            </c:strRef>
          </c:cat>
          <c:val>
            <c:numRef>
              <c:f>Sheet1!$K$5:$K$11</c:f>
              <c:numCache>
                <c:formatCode>_-[$€-2]\ * #,##0.00_-;\-[$€-2]\ * #,##0.00_-;_-[$€-2]\ * "-"??_-;_-@_-</c:formatCode>
                <c:ptCount val="7"/>
                <c:pt idx="0">
                  <c:v>400</c:v>
                </c:pt>
                <c:pt idx="1">
                  <c:v>12</c:v>
                </c:pt>
                <c:pt idx="2">
                  <c:v>10</c:v>
                </c:pt>
                <c:pt idx="3">
                  <c:v>20</c:v>
                </c:pt>
                <c:pt idx="4">
                  <c:v>45</c:v>
                </c:pt>
                <c:pt idx="5">
                  <c:v>35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5-4B95-AB47-1C83055D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Subscriptions</a:t>
            </a:r>
            <a:r>
              <a:rPr lang="en-US" baseline="0"/>
              <a:t> structure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B7-41AA-9930-4E61FD57B604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B7-41AA-9930-4E61FD57B604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B7-41AA-9930-4E61FD57B604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B7-41AA-9930-4E61FD57B604}"/>
              </c:ext>
            </c:extLst>
          </c:dPt>
          <c:dLbls>
            <c:dLbl>
              <c:idx val="0"/>
              <c:layout>
                <c:manualLayout>
                  <c:x val="0.17777777777777767"/>
                  <c:y val="-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B7-41AA-9930-4E61FD57B604}"/>
                </c:ext>
              </c:extLst>
            </c:dLbl>
            <c:dLbl>
              <c:idx val="1"/>
              <c:layout>
                <c:manualLayout>
                  <c:x val="0.33333333333333331"/>
                  <c:y val="3.24074074074074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B7-41AA-9930-4E61FD57B604}"/>
                </c:ext>
              </c:extLst>
            </c:dLbl>
            <c:dLbl>
              <c:idx val="2"/>
              <c:layout>
                <c:manualLayout>
                  <c:x val="-0.16666666666666669"/>
                  <c:y val="-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B7-41AA-9930-4E61FD57B604}"/>
                </c:ext>
              </c:extLst>
            </c:dLbl>
            <c:dLbl>
              <c:idx val="3"/>
              <c:layout>
                <c:manualLayout>
                  <c:x val="-0.20555555555555552"/>
                  <c:y val="-5.5555555555555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B7-41AA-9930-4E61FD57B6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Sheet1!$N$5:$N$8</c:f>
              <c:strCache>
                <c:ptCount val="4"/>
                <c:pt idx="0">
                  <c:v>Netflix</c:v>
                </c:pt>
                <c:pt idx="1">
                  <c:v>Spotify</c:v>
                </c:pt>
                <c:pt idx="2">
                  <c:v>Audible</c:v>
                </c:pt>
                <c:pt idx="3">
                  <c:v>iCloud</c:v>
                </c:pt>
              </c:strCache>
            </c:strRef>
          </c:cat>
          <c:val>
            <c:numRef>
              <c:f>Sheet1!$P$5:$P$8</c:f>
              <c:numCache>
                <c:formatCode>_-[$€-2]\ * #,##0.00_-;\-[$€-2]\ * #,##0.00_-;_-[$€-2]\ * "-"??_-;_-@_-</c:formatCode>
                <c:ptCount val="4"/>
                <c:pt idx="0">
                  <c:v>10</c:v>
                </c:pt>
                <c:pt idx="1">
                  <c:v>2.5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1AA-9930-4E61FD57B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structure</a:t>
            </a:r>
          </a:p>
        </c:rich>
      </c:tx>
      <c:layout>
        <c:manualLayout>
          <c:xMode val="edge"/>
          <c:yMode val="edge"/>
          <c:x val="0.3414166666666666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Sheet1!$T$4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3E-49D6-BBCD-A8C9119C4A54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3E-49D6-BBCD-A8C9119C4A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3E-49D6-BBCD-A8C9119C4A54}"/>
              </c:ext>
            </c:extLst>
          </c:dPt>
          <c:dPt>
            <c:idx val="3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3E-49D6-BBCD-A8C9119C4A54}"/>
              </c:ext>
            </c:extLst>
          </c:dPt>
          <c:dPt>
            <c:idx val="4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3E-49D6-BBCD-A8C9119C4A54}"/>
              </c:ext>
            </c:extLst>
          </c:dPt>
          <c:dLbls>
            <c:dLbl>
              <c:idx val="0"/>
              <c:layout>
                <c:manualLayout>
                  <c:x val="0.1611111111111112"/>
                  <c:y val="-0.1250000000000000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3E-49D6-BBCD-A8C9119C4A54}"/>
                </c:ext>
              </c:extLst>
            </c:dLbl>
            <c:dLbl>
              <c:idx val="1"/>
              <c:layout>
                <c:manualLayout>
                  <c:x val="0.20555555555555546"/>
                  <c:y val="6.01851851851851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3E-49D6-BBCD-A8C9119C4A54}"/>
                </c:ext>
              </c:extLst>
            </c:dLbl>
            <c:dLbl>
              <c:idx val="2"/>
              <c:layout>
                <c:manualLayout>
                  <c:x val="0.19722222222222222"/>
                  <c:y val="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3E-49D6-BBCD-A8C9119C4A54}"/>
                </c:ext>
              </c:extLst>
            </c:dLbl>
            <c:dLbl>
              <c:idx val="3"/>
              <c:layout>
                <c:manualLayout>
                  <c:x val="-0.16967751704925832"/>
                  <c:y val="-0.203703339165937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007990652028377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B3E-49D6-BBCD-A8C9119C4A54}"/>
                </c:ext>
              </c:extLst>
            </c:dLbl>
            <c:dLbl>
              <c:idx val="4"/>
              <c:layout>
                <c:manualLayout>
                  <c:x val="-0.13611111111111113"/>
                  <c:y val="-0.120370370370370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3E-49D6-BBCD-A8C9119C4A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Sheet1!$S$5:$S$9</c:f>
              <c:strCache>
                <c:ptCount val="5"/>
                <c:pt idx="0">
                  <c:v>Investments</c:v>
                </c:pt>
                <c:pt idx="1">
                  <c:v>Retirement</c:v>
                </c:pt>
                <c:pt idx="2">
                  <c:v>Travel</c:v>
                </c:pt>
                <c:pt idx="3">
                  <c:v>Appliances&amp;Furniture</c:v>
                </c:pt>
                <c:pt idx="4">
                  <c:v>Electronics</c:v>
                </c:pt>
              </c:strCache>
            </c:strRef>
          </c:cat>
          <c:val>
            <c:numRef>
              <c:f>Sheet1!$T$5:$T$9</c:f>
              <c:numCache>
                <c:formatCode>_-[$€-2]\ * #,##0.00_-;\-[$€-2]\ * #,##0.00_-;_-[$€-2]\ * "-"??_-;_-@_-</c:formatCode>
                <c:ptCount val="5"/>
                <c:pt idx="0">
                  <c:v>80</c:v>
                </c:pt>
                <c:pt idx="1">
                  <c:v>10</c:v>
                </c:pt>
                <c:pt idx="2">
                  <c:v>80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E-49D6-BBCD-A8C9119C4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16</xdr:row>
      <xdr:rowOff>4762</xdr:rowOff>
    </xdr:from>
    <xdr:to>
      <xdr:col>8</xdr:col>
      <xdr:colOff>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6F10D-0A22-28FB-CFA3-F386AF0C6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119061</xdr:rowOff>
    </xdr:from>
    <xdr:to>
      <xdr:col>3</xdr:col>
      <xdr:colOff>500063</xdr:colOff>
      <xdr:row>40</xdr:row>
      <xdr:rowOff>123824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D26F06-75A7-5302-F513-A7784B341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109536</xdr:colOff>
      <xdr:row>27</xdr:row>
      <xdr:rowOff>138112</xdr:rowOff>
    </xdr:from>
    <xdr:to>
      <xdr:col>7</xdr:col>
      <xdr:colOff>542925</xdr:colOff>
      <xdr:row>42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FBAB4FC-E411-67CC-F0EE-738F84964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566737</xdr:colOff>
      <xdr:row>27</xdr:row>
      <xdr:rowOff>176212</xdr:rowOff>
    </xdr:from>
    <xdr:to>
      <xdr:col>12</xdr:col>
      <xdr:colOff>28575</xdr:colOff>
      <xdr:row>42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3478586-D54F-17A5-3747-6F9EC1F12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185737</xdr:colOff>
      <xdr:row>27</xdr:row>
      <xdr:rowOff>157162</xdr:rowOff>
    </xdr:from>
    <xdr:to>
      <xdr:col>17</xdr:col>
      <xdr:colOff>95250</xdr:colOff>
      <xdr:row>42</xdr:row>
      <xdr:rowOff>42862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4AD8F87-0B63-6DFA-9083-62920F49B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628650</xdr:colOff>
      <xdr:row>27</xdr:row>
      <xdr:rowOff>166687</xdr:rowOff>
    </xdr:from>
    <xdr:to>
      <xdr:col>21</xdr:col>
      <xdr:colOff>61912</xdr:colOff>
      <xdr:row>42</xdr:row>
      <xdr:rowOff>52387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CAD5169-F638-1E1E-FF11-F01DD52A3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5D01-09F3-473C-BD5D-530D7D865754}">
  <dimension ref="A3:U26"/>
  <sheetViews>
    <sheetView tabSelected="1" zoomScaleNormal="100" workbookViewId="0">
      <selection activeCell="I20" sqref="I20"/>
    </sheetView>
  </sheetViews>
  <sheetFormatPr defaultRowHeight="15" x14ac:dyDescent="0.25"/>
  <cols>
    <col min="1" max="1" width="14.5703125" style="1" customWidth="1"/>
    <col min="2" max="2" width="14.28515625" style="1" bestFit="1" customWidth="1"/>
    <col min="3" max="3" width="10.42578125" style="1" bestFit="1" customWidth="1"/>
    <col min="4" max="4" width="11" style="1" bestFit="1" customWidth="1"/>
    <col min="5" max="5" width="22" style="1" customWidth="1"/>
    <col min="6" max="6" width="18.7109375" style="1" customWidth="1"/>
    <col min="7" max="7" width="13.85546875" style="1" customWidth="1"/>
    <col min="8" max="8" width="9.140625" style="1"/>
    <col min="9" max="9" width="13.28515625" style="1" customWidth="1"/>
    <col min="10" max="10" width="15.42578125" style="1" customWidth="1"/>
    <col min="11" max="12" width="9.85546875" style="1" bestFit="1" customWidth="1"/>
    <col min="13" max="13" width="9.140625" style="1"/>
    <col min="14" max="14" width="9" style="1" customWidth="1"/>
    <col min="15" max="15" width="15.7109375" style="1" customWidth="1"/>
    <col min="16" max="16" width="11.85546875" style="1" bestFit="1" customWidth="1"/>
    <col min="17" max="17" width="9.85546875" style="1" bestFit="1" customWidth="1"/>
    <col min="18" max="18" width="6.7109375" customWidth="1"/>
    <col min="19" max="19" width="21.140625" customWidth="1"/>
    <col min="20" max="21" width="9.85546875" bestFit="1" customWidth="1"/>
  </cols>
  <sheetData>
    <row r="3" spans="1:21" x14ac:dyDescent="0.25">
      <c r="A3" s="43" t="s">
        <v>0</v>
      </c>
      <c r="B3" s="43"/>
      <c r="C3" s="43"/>
      <c r="E3" s="44" t="s">
        <v>5</v>
      </c>
      <c r="F3" s="44"/>
      <c r="G3" s="44"/>
      <c r="I3" s="45" t="s">
        <v>6</v>
      </c>
      <c r="J3" s="45"/>
      <c r="K3" s="45"/>
      <c r="L3" s="45"/>
      <c r="N3" s="42" t="s">
        <v>7</v>
      </c>
      <c r="O3" s="42"/>
      <c r="P3" s="42"/>
      <c r="Q3" s="42"/>
      <c r="S3" s="46" t="s">
        <v>36</v>
      </c>
      <c r="T3" s="46"/>
      <c r="U3" s="46"/>
    </row>
    <row r="4" spans="1:21" x14ac:dyDescent="0.25">
      <c r="A4" s="12" t="s">
        <v>25</v>
      </c>
      <c r="B4" s="12" t="s">
        <v>9</v>
      </c>
      <c r="C4" s="12" t="s">
        <v>11</v>
      </c>
      <c r="E4" s="13" t="s">
        <v>8</v>
      </c>
      <c r="F4" s="13" t="s">
        <v>9</v>
      </c>
      <c r="G4" s="13" t="s">
        <v>11</v>
      </c>
      <c r="I4" s="8"/>
      <c r="J4" s="8" t="s">
        <v>10</v>
      </c>
      <c r="K4" s="8" t="s">
        <v>9</v>
      </c>
      <c r="L4" s="8" t="s">
        <v>11</v>
      </c>
      <c r="N4" s="9"/>
      <c r="O4" s="9" t="s">
        <v>10</v>
      </c>
      <c r="P4" s="9" t="s">
        <v>9</v>
      </c>
      <c r="Q4" s="9" t="s">
        <v>11</v>
      </c>
      <c r="S4" s="16" t="s">
        <v>37</v>
      </c>
      <c r="T4" s="16" t="s">
        <v>9</v>
      </c>
      <c r="U4" s="16" t="s">
        <v>11</v>
      </c>
    </row>
    <row r="5" spans="1:21" x14ac:dyDescent="0.25">
      <c r="A5" s="4" t="s">
        <v>26</v>
      </c>
      <c r="B5" s="23">
        <v>230</v>
      </c>
      <c r="C5" s="23"/>
      <c r="E5" s="36" t="s">
        <v>12</v>
      </c>
      <c r="F5" s="37">
        <v>529</v>
      </c>
      <c r="G5" s="38"/>
      <c r="I5" s="6" t="s">
        <v>1</v>
      </c>
      <c r="J5" s="55">
        <f>DATE(2025,$C$19, 10)</f>
        <v>45971</v>
      </c>
      <c r="K5" s="25">
        <v>400</v>
      </c>
      <c r="L5" s="25"/>
      <c r="N5" s="14" t="s">
        <v>20</v>
      </c>
      <c r="O5" s="57">
        <f ca="1">DATE(2025,$C$19, RANDBETWEEN(1, 28))</f>
        <v>45989</v>
      </c>
      <c r="P5" s="27">
        <v>10</v>
      </c>
      <c r="Q5" s="27"/>
      <c r="S5" s="10" t="s">
        <v>38</v>
      </c>
      <c r="T5" s="29">
        <v>80</v>
      </c>
      <c r="U5" s="29"/>
    </row>
    <row r="6" spans="1:21" x14ac:dyDescent="0.25">
      <c r="A6" s="4" t="s">
        <v>27</v>
      </c>
      <c r="B6" s="23">
        <v>200</v>
      </c>
      <c r="C6" s="23"/>
      <c r="E6" s="36" t="s">
        <v>13</v>
      </c>
      <c r="F6" s="37">
        <v>450</v>
      </c>
      <c r="G6" s="38"/>
      <c r="I6" s="6" t="s">
        <v>2</v>
      </c>
      <c r="J6" s="55">
        <f>DATE(2025,$C$19, 5)</f>
        <v>45966</v>
      </c>
      <c r="K6" s="25">
        <v>12</v>
      </c>
      <c r="L6" s="25"/>
      <c r="N6" s="14" t="s">
        <v>21</v>
      </c>
      <c r="O6" s="57">
        <f ca="1">DATE(2025,$C$19, RANDBETWEEN(1, 28))</f>
        <v>45970</v>
      </c>
      <c r="P6" s="27">
        <v>2.5</v>
      </c>
      <c r="Q6" s="27"/>
      <c r="S6" s="10" t="s">
        <v>39</v>
      </c>
      <c r="T6" s="29">
        <v>10</v>
      </c>
      <c r="U6" s="29"/>
    </row>
    <row r="7" spans="1:21" x14ac:dyDescent="0.25">
      <c r="A7" s="4" t="s">
        <v>28</v>
      </c>
      <c r="B7" s="23">
        <v>1500</v>
      </c>
      <c r="C7" s="23"/>
      <c r="E7" s="36" t="s">
        <v>14</v>
      </c>
      <c r="F7" s="37">
        <v>150</v>
      </c>
      <c r="G7" s="38"/>
      <c r="I7" s="6" t="s">
        <v>16</v>
      </c>
      <c r="J7" s="55">
        <f>DATE(2025,$C$19, 5)</f>
        <v>45966</v>
      </c>
      <c r="K7" s="25">
        <v>10</v>
      </c>
      <c r="L7" s="25"/>
      <c r="N7" s="14" t="s">
        <v>22</v>
      </c>
      <c r="O7" s="57">
        <f ca="1">DATE(2025,$C$19, RANDBETWEEN(1, 28))</f>
        <v>45979</v>
      </c>
      <c r="P7" s="27">
        <v>8</v>
      </c>
      <c r="Q7" s="27"/>
      <c r="S7" s="10" t="s">
        <v>40</v>
      </c>
      <c r="T7" s="29">
        <v>80</v>
      </c>
      <c r="U7" s="29"/>
    </row>
    <row r="8" spans="1:21" x14ac:dyDescent="0.25">
      <c r="A8" s="4" t="s">
        <v>29</v>
      </c>
      <c r="B8" s="23">
        <v>100</v>
      </c>
      <c r="C8" s="23"/>
      <c r="E8" s="36" t="s">
        <v>3</v>
      </c>
      <c r="F8" s="38">
        <v>300</v>
      </c>
      <c r="G8" s="38"/>
      <c r="I8" s="6" t="s">
        <v>15</v>
      </c>
      <c r="J8" s="55">
        <f>DATE(2025,$C$19, 10)</f>
        <v>45971</v>
      </c>
      <c r="K8" s="25">
        <v>20</v>
      </c>
      <c r="L8" s="25"/>
      <c r="N8" s="14" t="s">
        <v>23</v>
      </c>
      <c r="O8" s="57">
        <f ca="1">DATE(2025,$C$19, RANDBETWEEN(1, 28))</f>
        <v>45970</v>
      </c>
      <c r="P8" s="27">
        <v>1</v>
      </c>
      <c r="Q8" s="27"/>
      <c r="S8" s="10" t="s">
        <v>34</v>
      </c>
      <c r="T8" s="29">
        <v>30</v>
      </c>
      <c r="U8" s="29"/>
    </row>
    <row r="9" spans="1:21" x14ac:dyDescent="0.25">
      <c r="A9" s="4" t="s">
        <v>30</v>
      </c>
      <c r="B9" s="23"/>
      <c r="C9" s="23"/>
      <c r="E9" s="36" t="s">
        <v>24</v>
      </c>
      <c r="F9" s="38">
        <v>100</v>
      </c>
      <c r="G9" s="38"/>
      <c r="I9" s="6" t="s">
        <v>17</v>
      </c>
      <c r="J9" s="55">
        <f>DATE(2025,$C$19, 10)</f>
        <v>45971</v>
      </c>
      <c r="K9" s="25">
        <v>45</v>
      </c>
      <c r="L9" s="25"/>
      <c r="N9" s="14"/>
      <c r="O9" s="57"/>
      <c r="P9" s="27"/>
      <c r="Q9" s="27"/>
      <c r="S9" s="10" t="s">
        <v>33</v>
      </c>
      <c r="T9" s="29">
        <v>100</v>
      </c>
      <c r="U9" s="29"/>
    </row>
    <row r="10" spans="1:21" x14ac:dyDescent="0.25">
      <c r="A10" s="4" t="s">
        <v>31</v>
      </c>
      <c r="B10" s="23"/>
      <c r="C10" s="23"/>
      <c r="E10" s="36" t="s">
        <v>4</v>
      </c>
      <c r="F10" s="38">
        <v>30</v>
      </c>
      <c r="G10" s="38"/>
      <c r="I10" s="6" t="s">
        <v>18</v>
      </c>
      <c r="J10" s="55">
        <f>DATE(2025,$C$19, 10)</f>
        <v>45971</v>
      </c>
      <c r="K10" s="25">
        <v>35</v>
      </c>
      <c r="L10" s="25"/>
      <c r="N10" s="14"/>
      <c r="O10" s="57"/>
      <c r="P10" s="27"/>
      <c r="Q10" s="27"/>
      <c r="S10" s="10"/>
      <c r="T10" s="29"/>
      <c r="U10" s="29"/>
    </row>
    <row r="11" spans="1:21" x14ac:dyDescent="0.25">
      <c r="A11" s="4"/>
      <c r="B11" s="23"/>
      <c r="C11" s="23"/>
      <c r="E11" s="36" t="s">
        <v>32</v>
      </c>
      <c r="F11" s="38">
        <v>50</v>
      </c>
      <c r="G11" s="38"/>
      <c r="I11" s="6" t="s">
        <v>19</v>
      </c>
      <c r="J11" s="55">
        <f>DATE(2025,$C$19, 10)</f>
        <v>45971</v>
      </c>
      <c r="K11" s="25">
        <v>7</v>
      </c>
      <c r="L11" s="25"/>
      <c r="N11" s="14"/>
      <c r="O11" s="57"/>
      <c r="P11" s="27"/>
      <c r="Q11" s="27"/>
      <c r="S11" s="10"/>
      <c r="T11" s="29"/>
      <c r="U11" s="29"/>
    </row>
    <row r="12" spans="1:21" x14ac:dyDescent="0.25">
      <c r="A12" s="4"/>
      <c r="B12" s="23"/>
      <c r="C12" s="23"/>
      <c r="E12" s="36" t="s">
        <v>41</v>
      </c>
      <c r="F12" s="37">
        <v>20</v>
      </c>
      <c r="G12" s="38"/>
      <c r="I12" s="6"/>
      <c r="J12" s="53"/>
      <c r="K12" s="25"/>
      <c r="L12" s="25"/>
      <c r="N12" s="14"/>
      <c r="O12" s="57"/>
      <c r="P12" s="27"/>
      <c r="Q12" s="27"/>
      <c r="S12" s="10"/>
      <c r="T12" s="29"/>
      <c r="U12" s="29"/>
    </row>
    <row r="13" spans="1:21" x14ac:dyDescent="0.25">
      <c r="A13" s="4"/>
      <c r="B13" s="23"/>
      <c r="C13" s="23"/>
      <c r="E13" s="36" t="s">
        <v>31</v>
      </c>
      <c r="F13" s="37">
        <v>21</v>
      </c>
      <c r="G13" s="38"/>
      <c r="I13" s="6"/>
      <c r="J13" s="53"/>
      <c r="K13" s="25"/>
      <c r="L13" s="25"/>
      <c r="N13" s="14"/>
      <c r="O13" s="57"/>
      <c r="P13" s="27"/>
      <c r="Q13" s="27"/>
      <c r="S13" s="10"/>
      <c r="T13" s="29"/>
      <c r="U13" s="29"/>
    </row>
    <row r="14" spans="1:21" ht="15.75" thickBot="1" x14ac:dyDescent="0.3">
      <c r="A14" s="5"/>
      <c r="B14" s="24"/>
      <c r="C14" s="24"/>
      <c r="E14" s="39"/>
      <c r="F14" s="40"/>
      <c r="G14" s="41"/>
      <c r="I14" s="7"/>
      <c r="J14" s="54"/>
      <c r="K14" s="26"/>
      <c r="L14" s="26"/>
      <c r="N14" s="15"/>
      <c r="O14" s="58"/>
      <c r="P14" s="28"/>
      <c r="Q14" s="28"/>
      <c r="S14" s="11"/>
      <c r="T14" s="30"/>
      <c r="U14" s="30"/>
    </row>
    <row r="15" spans="1:21" ht="15.75" thickBot="1" x14ac:dyDescent="0.3">
      <c r="A15" s="18" t="s">
        <v>35</v>
      </c>
      <c r="B15" s="31">
        <f>SUM(B5:B14)</f>
        <v>2030</v>
      </c>
      <c r="C15" s="31">
        <f>SUM(C5:C14)</f>
        <v>0</v>
      </c>
      <c r="E15" s="19" t="s">
        <v>35</v>
      </c>
      <c r="F15" s="32">
        <f>SUM(F5:F14)</f>
        <v>1650</v>
      </c>
      <c r="G15" s="32">
        <f>SUM(G5:G14)</f>
        <v>0</v>
      </c>
      <c r="I15" s="20" t="s">
        <v>35</v>
      </c>
      <c r="J15" s="20"/>
      <c r="K15" s="33">
        <f>SUM(K5:K14)</f>
        <v>529</v>
      </c>
      <c r="L15" s="33">
        <f>SUM(L5:L14)</f>
        <v>0</v>
      </c>
      <c r="N15" s="21" t="s">
        <v>35</v>
      </c>
      <c r="O15" s="22"/>
      <c r="P15" s="34">
        <f>SUM(P5:P14)</f>
        <v>21.5</v>
      </c>
      <c r="Q15" s="34">
        <f>SUM(Q5:Q14)</f>
        <v>0</v>
      </c>
      <c r="S15" s="17" t="s">
        <v>35</v>
      </c>
      <c r="T15" s="35">
        <f>SUM(T5:T14)</f>
        <v>300</v>
      </c>
      <c r="U15" s="35">
        <f>SUM(U5:U14)</f>
        <v>0</v>
      </c>
    </row>
    <row r="17" spans="1:7" x14ac:dyDescent="0.25">
      <c r="F17" s="3"/>
      <c r="G17" s="2"/>
    </row>
    <row r="18" spans="1:7" x14ac:dyDescent="0.25">
      <c r="F18" s="3"/>
      <c r="G18" s="2"/>
    </row>
    <row r="19" spans="1:7" x14ac:dyDescent="0.25">
      <c r="A19" s="49" t="s">
        <v>42</v>
      </c>
      <c r="B19" s="50">
        <f>DATE(2025, C19, 1)</f>
        <v>45962</v>
      </c>
      <c r="C19" s="56">
        <v>11</v>
      </c>
    </row>
    <row r="21" spans="1:7" x14ac:dyDescent="0.25">
      <c r="B21" s="48" t="s">
        <v>9</v>
      </c>
      <c r="C21" s="48" t="s">
        <v>11</v>
      </c>
      <c r="D21" s="48" t="s">
        <v>44</v>
      </c>
    </row>
    <row r="22" spans="1:7" x14ac:dyDescent="0.25">
      <c r="A22" s="48" t="s">
        <v>0</v>
      </c>
      <c r="B22" s="51">
        <f>B15</f>
        <v>2030</v>
      </c>
      <c r="C22" s="51">
        <f>C15</f>
        <v>0</v>
      </c>
      <c r="D22" s="52">
        <f>B22-C22</f>
        <v>2030</v>
      </c>
    </row>
    <row r="23" spans="1:7" x14ac:dyDescent="0.25">
      <c r="A23" s="48" t="s">
        <v>5</v>
      </c>
      <c r="B23" s="51">
        <f>F15</f>
        <v>1650</v>
      </c>
      <c r="C23" s="51">
        <f>G15</f>
        <v>0</v>
      </c>
      <c r="D23" s="52">
        <f t="shared" ref="D23:D24" si="0">B23-C23</f>
        <v>1650</v>
      </c>
      <c r="F23" s="3"/>
      <c r="G23" s="2"/>
    </row>
    <row r="24" spans="1:7" x14ac:dyDescent="0.25">
      <c r="A24" s="48" t="s">
        <v>36</v>
      </c>
      <c r="B24" s="51">
        <f>T15</f>
        <v>300</v>
      </c>
      <c r="C24" s="51">
        <f>U15</f>
        <v>0</v>
      </c>
      <c r="D24" s="52">
        <f t="shared" si="0"/>
        <v>300</v>
      </c>
      <c r="F24" s="3"/>
      <c r="G24" s="2"/>
    </row>
    <row r="25" spans="1:7" x14ac:dyDescent="0.25">
      <c r="A25" s="47"/>
      <c r="B25" s="47"/>
      <c r="C25" s="47"/>
      <c r="D25" s="47"/>
      <c r="F25" s="3"/>
      <c r="G25" s="2"/>
    </row>
    <row r="26" spans="1:7" x14ac:dyDescent="0.25">
      <c r="A26" s="48" t="s">
        <v>43</v>
      </c>
      <c r="B26" s="52">
        <f>B22-B23-B24</f>
        <v>80</v>
      </c>
      <c r="C26" s="52">
        <f>C22-C23-C24</f>
        <v>0</v>
      </c>
      <c r="D26" s="52">
        <f>D22-D23-D24</f>
        <v>80</v>
      </c>
    </row>
  </sheetData>
  <mergeCells count="5">
    <mergeCell ref="N3:Q3"/>
    <mergeCell ref="A3:C3"/>
    <mergeCell ref="E3:G3"/>
    <mergeCell ref="I3:L3"/>
    <mergeCell ref="S3:U3"/>
  </mergeCells>
  <conditionalFormatting sqref="B26:D26">
    <cfRule type="cellIs" dxfId="8" priority="5" operator="lessThan">
      <formula>0</formula>
    </cfRule>
  </conditionalFormatting>
  <conditionalFormatting sqref="O5:O14">
    <cfRule type="cellIs" dxfId="7" priority="4" operator="lessThan">
      <formula>TODAY()</formula>
    </cfRule>
    <cfRule type="cellIs" dxfId="6" priority="3" operator="equal">
      <formula>TODAY()</formula>
    </cfRule>
  </conditionalFormatting>
  <conditionalFormatting sqref="J5:J14">
    <cfRule type="cellIs" dxfId="0" priority="2" operator="lessThan">
      <formula>TODAY()</formula>
    </cfRule>
    <cfRule type="cellIs" dxfId="1" priority="1" operator="equal">
      <formula>TODAY()</formula>
    </cfRule>
  </conditionalFormatting>
  <pageMargins left="0.7" right="0.7" top="0.75" bottom="0.75" header="0.3" footer="0.3"/>
  <pageSetup paperSize="9" scale="3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en-A013-11</cp:lastModifiedBy>
  <dcterms:created xsi:type="dcterms:W3CDTF">2025-10-29T14:06:24Z</dcterms:created>
  <dcterms:modified xsi:type="dcterms:W3CDTF">2025-11-05T15:26:54Z</dcterms:modified>
</cp:coreProperties>
</file>